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F:\임준호\보고자료 중간저장\"/>
    </mc:Choice>
  </mc:AlternateContent>
  <bookViews>
    <workbookView xWindow="-105" yWindow="-105" windowWidth="29025" windowHeight="17505" activeTab="2"/>
  </bookViews>
  <sheets>
    <sheet name="주간영업보고" sheetId="26" r:id="rId1"/>
    <sheet name="보고서_중점사항" sheetId="22" r:id="rId2"/>
    <sheet name="업무보고서 " sheetId="27" r:id="rId3"/>
    <sheet name="영업목표 일괄표" sheetId="23" r:id="rId4"/>
    <sheet name="종합(서울)" sheetId="24" r:id="rId5"/>
    <sheet name="종합(경기)" sheetId="25" r:id="rId6"/>
    <sheet name="김용경_미선정 현황 추가정리 보고용" sheetId="28" r:id="rId7"/>
  </sheets>
  <externalReferences>
    <externalReference r:id="rId8"/>
    <externalReference r:id="rId9"/>
    <externalReference r:id="rId10"/>
    <externalReference r:id="rId11"/>
    <externalReference r:id="rId12"/>
  </externalReferences>
  <definedNames>
    <definedName name="_10월10일">[1]현재진행PROJECT!#REF!</definedName>
    <definedName name="_10월11일">[1]현재진행PROJECT!#REF!</definedName>
    <definedName name="_10월12일">[1]현재진행PROJECT!#REF!</definedName>
    <definedName name="_10월13일">[1]현재진행PROJECT!#REF!</definedName>
    <definedName name="_10월14일">[1]현재진행PROJECT!#REF!</definedName>
    <definedName name="_10월15일">[1]현재진행PROJECT!#REF!</definedName>
    <definedName name="_10월16일">[1]현재진행PROJECT!#REF!</definedName>
    <definedName name="_10월17일">[1]현재진행PROJECT!#REF!</definedName>
    <definedName name="_10월18일">[1]현재진행PROJECT!#REF!</definedName>
    <definedName name="_10월19일">[1]현재진행PROJECT!#REF!</definedName>
    <definedName name="_10월1일">[1]현재진행PROJECT!#REF!</definedName>
    <definedName name="_10월20일">[1]현재진행PROJECT!#REF!</definedName>
    <definedName name="_10월21일">[1]현재진행PROJECT!#REF!</definedName>
    <definedName name="_10월22일">[1]현재진행PROJECT!#REF!</definedName>
    <definedName name="_10월23일">[1]현재진행PROJECT!#REF!</definedName>
    <definedName name="_10월24일">[1]현재진행PROJECT!#REF!</definedName>
    <definedName name="_10월25일">[1]현재진행PROJECT!#REF!</definedName>
    <definedName name="_10월26일">[1]현재진행PROJECT!#REF!</definedName>
    <definedName name="_10월27일">[1]현재진행PROJECT!#REF!</definedName>
    <definedName name="_10월28일">[1]현재진행PROJECT!#REF!</definedName>
    <definedName name="_10월29일">[1]현재진행PROJECT!#REF!</definedName>
    <definedName name="_10월2일">[1]현재진행PROJECT!#REF!</definedName>
    <definedName name="_10월30일">[1]현재진행PROJECT!#REF!</definedName>
    <definedName name="_10월31일">[1]현재진행PROJECT!#REF!</definedName>
    <definedName name="_10월3일">[1]현재진행PROJECT!#REF!</definedName>
    <definedName name="_10월4일">[1]현재진행PROJECT!#REF!</definedName>
    <definedName name="_10월5일">[1]현재진행PROJECT!#REF!</definedName>
    <definedName name="_10월6일">[1]현재진행PROJECT!#REF!</definedName>
    <definedName name="_10월7일">[1]현재진행PROJECT!#REF!</definedName>
    <definedName name="_10월8일">[1]현재진행PROJECT!#REF!</definedName>
    <definedName name="_10월9일">[1]현재진행PROJECT!#REF!</definedName>
    <definedName name="_16일">[1]현재진행PROJECT!#REF!</definedName>
    <definedName name="_17일">[1]현재진행PROJECT!#REF!</definedName>
    <definedName name="_23일">[1]현재진행PROJECT!#REF!</definedName>
    <definedName name="_24일">[1]현재진행PROJECT!#REF!</definedName>
    <definedName name="_25일">[1]현재진행PROJECT!#REF!</definedName>
    <definedName name="_26일">[1]현재진행PROJECT!#REF!</definedName>
    <definedName name="_27일">[1]현재진행PROJECT!#REF!</definedName>
    <definedName name="_28일">[1]현재진행PROJECT!#REF!</definedName>
    <definedName name="_29일">[1]현재진행PROJECT!#REF!</definedName>
    <definedName name="_30일">[1]현재진행PROJECT!#REF!</definedName>
    <definedName name="_xlnm._FilterDatabase" localSheetId="6" hidden="1">'김용경_미선정 현황 추가정리 보고용'!$A$1:$P$64</definedName>
    <definedName name="_xlnm._FilterDatabase" localSheetId="5" hidden="1">'종합(경기)'!$A$2:$O$101</definedName>
    <definedName name="_xlnm._FilterDatabase" localSheetId="4" hidden="1">'종합(서울)'!$A$2:$O$165</definedName>
    <definedName name="MasterRange" localSheetId="6">#REF!</definedName>
    <definedName name="MasterRange" localSheetId="5">#REF!</definedName>
    <definedName name="MasterRange" localSheetId="4">#REF!</definedName>
    <definedName name="MasterRange">#REF!</definedName>
    <definedName name="_xlnm.Print_Area" localSheetId="1">보고서_중점사항!$A$1:$I$55</definedName>
    <definedName name="_xlnm.Print_Area" localSheetId="2">'업무보고서 '!$A$1:$N$706</definedName>
    <definedName name="_xlnm.Print_Area" localSheetId="3">'영업목표 일괄표'!$A$1:$H$44</definedName>
    <definedName name="_xlnm.Print_Area" localSheetId="4">'종합(서울)'!$A$1:$O$171</definedName>
    <definedName name="_xlnm.Print_Area" localSheetId="0">주간영업보고!$A$1:$J$50</definedName>
    <definedName name="XLRPARAMS_SubTitle1" hidden="1">[2]XLR_NoRangeSheet!$B$6</definedName>
    <definedName name="달력연도" localSheetId="6">'[3]1월'!$K$5</definedName>
    <definedName name="달력연도" localSheetId="1">'[4]1월'!$K$5</definedName>
    <definedName name="달력연도" localSheetId="2">'[3]1월'!$K$5</definedName>
    <definedName name="달력연도">'[5]1월'!$K$5</definedName>
    <definedName name="미선정학교_영업목표" localSheetId="6">#REF!</definedName>
    <definedName name="미선정학교_영업목표">#REF!</definedName>
    <definedName name="열제목영역1..H12.5" localSheetId="6">#REF!</definedName>
    <definedName name="열제목영역1..H12.5" localSheetId="1">#REF!</definedName>
    <definedName name="열제목영역1..H12.5" localSheetId="2">#REF!</definedName>
    <definedName name="열제목영역1..H12.5" localSheetId="0">#REF!</definedName>
    <definedName name="열제목영역1..H12.5">#REF!</definedName>
    <definedName name="열제목영역2..C14.5" localSheetId="6">#REF!</definedName>
    <definedName name="열제목영역2..C14.5" localSheetId="1">#REF!</definedName>
    <definedName name="열제목영역2..C14.5" localSheetId="2">#REF!</definedName>
    <definedName name="열제목영역2..C14.5" localSheetId="0">#REF!</definedName>
    <definedName name="열제목영역2..C14.5">#REF!</definedName>
    <definedName name="요일및주" localSheetId="6">{0,1,2,3,4,5,6} + {0;1;2;3;4;5}*7</definedName>
    <definedName name="요일및주" localSheetId="1">{0,1,2,3,4,5,6} + {0;1;2;3;4;5}*7</definedName>
    <definedName name="요일및주" localSheetId="2">{0,1,2,3,4,5,6} + {0;1;2;3;4;5}*7</definedName>
    <definedName name="요일및주" localSheetId="0">{0,1,2,3,4,5,6} + {0;1;2;3;4;5}*7</definedName>
    <definedName name="요일및주">{0,1,2,3,4,5,6} + {0;1;2;3;4;5}*7</definedName>
    <definedName name="주시작" localSheetId="6">'[3]1월'!$L$5</definedName>
    <definedName name="주시작" localSheetId="1">'[4]1월'!$L$5</definedName>
    <definedName name="주시작" localSheetId="2">'[3]1월'!$L$5</definedName>
    <definedName name="주시작">'[5]1월'!$L$5</definedName>
    <definedName name="학교방문현황" localSheetId="1">{0,1,2,3,4,5,6} + {0;1;2;3;4;5}*7</definedName>
    <definedName name="학교방문현황" localSheetId="2">{0,1,2,3,4,5,6} + {0;1;2;3;4;5}*7</definedName>
    <definedName name="학교방문현황" localSheetId="0">{0,1,2,3,4,5,6} + {0;1;2;3;4;5}*7</definedName>
    <definedName name="학교방문현황">{0,1,2,3,4,5,6} + {0;1;2;3;4;5}*7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78" i="27" l="1"/>
  <c r="D265" i="27"/>
  <c r="D251" i="27"/>
  <c r="D700" i="27" l="1"/>
  <c r="D687" i="27"/>
  <c r="D674" i="27"/>
  <c r="D661" i="27"/>
  <c r="D648" i="27"/>
  <c r="D635" i="27"/>
  <c r="D622" i="27"/>
  <c r="D609" i="27"/>
  <c r="D596" i="27"/>
  <c r="D584" i="27"/>
  <c r="D571" i="27"/>
  <c r="D558" i="27"/>
  <c r="D545" i="27"/>
  <c r="D532" i="27"/>
  <c r="D519" i="27"/>
  <c r="D506" i="27"/>
  <c r="D493" i="27"/>
  <c r="D481" i="27"/>
  <c r="D468" i="27"/>
  <c r="D455" i="27"/>
  <c r="D442" i="27"/>
  <c r="D429" i="27"/>
  <c r="D416" i="27"/>
  <c r="D403" i="27"/>
  <c r="D391" i="27"/>
  <c r="D377" i="27"/>
  <c r="D365" i="27"/>
  <c r="D353" i="27"/>
  <c r="D341" i="27"/>
  <c r="D328" i="27"/>
  <c r="D315" i="27"/>
  <c r="D303" i="27"/>
  <c r="D291" i="27"/>
  <c r="D239" i="27"/>
  <c r="D226" i="27"/>
  <c r="D214" i="27"/>
  <c r="D201" i="27"/>
  <c r="D188" i="27"/>
  <c r="D175" i="27"/>
  <c r="D162" i="27"/>
  <c r="D149" i="27"/>
  <c r="D135" i="27"/>
  <c r="D123" i="27"/>
  <c r="D110" i="27"/>
  <c r="D97" i="27"/>
  <c r="D84" i="27"/>
  <c r="D71" i="27"/>
  <c r="D58" i="27"/>
  <c r="D45" i="27"/>
  <c r="D32" i="27"/>
  <c r="D19" i="27"/>
  <c r="D6" i="27" l="1"/>
  <c r="G34" i="26" l="1"/>
  <c r="F34" i="26"/>
  <c r="E34" i="26"/>
  <c r="D34" i="26"/>
  <c r="I33" i="26"/>
  <c r="H33" i="26"/>
  <c r="I32" i="26"/>
  <c r="H32" i="26"/>
  <c r="I31" i="26"/>
  <c r="H31" i="26"/>
  <c r="I30" i="26"/>
  <c r="H30" i="26"/>
  <c r="I29" i="26"/>
  <c r="H29" i="26"/>
  <c r="I28" i="26"/>
  <c r="H28" i="26"/>
  <c r="I27" i="26"/>
  <c r="H27" i="26"/>
  <c r="I26" i="26"/>
  <c r="H26" i="26"/>
  <c r="I25" i="26"/>
  <c r="H25" i="26"/>
  <c r="I24" i="26"/>
  <c r="H24" i="26"/>
  <c r="I23" i="26"/>
  <c r="H23" i="26"/>
  <c r="I22" i="26"/>
  <c r="H22" i="26"/>
  <c r="I21" i="26"/>
  <c r="H21" i="26"/>
  <c r="I20" i="26"/>
  <c r="H20" i="26"/>
  <c r="I19" i="26"/>
  <c r="H19" i="26"/>
  <c r="I18" i="26"/>
  <c r="H18" i="26"/>
  <c r="I17" i="26"/>
  <c r="H17" i="26"/>
  <c r="I16" i="26"/>
  <c r="H16" i="26"/>
  <c r="I15" i="26"/>
  <c r="H15" i="26"/>
  <c r="I14" i="26"/>
  <c r="H14" i="26"/>
  <c r="I13" i="26"/>
  <c r="H13" i="26"/>
  <c r="I12" i="26"/>
  <c r="H12" i="26"/>
  <c r="H34" i="26" l="1"/>
  <c r="I34" i="26"/>
  <c r="H29" i="23"/>
  <c r="G29" i="23"/>
  <c r="F29" i="23"/>
  <c r="E29" i="23"/>
  <c r="D29" i="23"/>
  <c r="H27" i="23"/>
  <c r="H28" i="23" s="1"/>
  <c r="G27" i="23"/>
  <c r="G28" i="23" s="1"/>
  <c r="F27" i="23"/>
  <c r="F28" i="23" s="1"/>
  <c r="E27" i="23"/>
  <c r="E28" i="23" s="1"/>
  <c r="D27" i="23"/>
  <c r="H26" i="23"/>
  <c r="H25" i="23"/>
  <c r="D25" i="23"/>
  <c r="D23" i="23"/>
  <c r="G21" i="23"/>
  <c r="G25" i="23" s="1"/>
  <c r="F21" i="23"/>
  <c r="E21" i="23"/>
  <c r="D21" i="23"/>
  <c r="C21" i="23"/>
  <c r="H23" i="23" s="1"/>
  <c r="H10" i="23"/>
  <c r="G10" i="23"/>
  <c r="G14" i="23" s="1"/>
  <c r="F10" i="23"/>
  <c r="F30" i="23" s="1"/>
  <c r="E10" i="23"/>
  <c r="D10" i="23"/>
  <c r="D14" i="23" s="1"/>
  <c r="C10" i="23"/>
  <c r="F12" i="23" s="1"/>
  <c r="G12" i="23" l="1"/>
  <c r="H12" i="23"/>
  <c r="D30" i="23"/>
  <c r="D26" i="23"/>
  <c r="F26" i="23"/>
  <c r="D28" i="23"/>
  <c r="E26" i="23"/>
  <c r="G30" i="23"/>
  <c r="F25" i="23"/>
  <c r="F14" i="23"/>
  <c r="E23" i="23"/>
  <c r="D12" i="23"/>
  <c r="H14" i="23"/>
  <c r="F23" i="23"/>
  <c r="E12" i="23"/>
  <c r="G23" i="23"/>
  <c r="G26" i="23"/>
</calcChain>
</file>

<file path=xl/comments1.xml><?xml version="1.0" encoding="utf-8"?>
<comments xmlns="http://schemas.openxmlformats.org/spreadsheetml/2006/main">
  <authors>
    <author>PC</author>
  </authors>
  <commentList>
    <comment ref="H15" authorId="0" shapeId="0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디교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비상</t>
        </r>
      </text>
    </comment>
    <comment ref="H137" authorId="0" shapeId="0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정보교과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전학년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미편성
</t>
        </r>
      </text>
    </comment>
  </commentList>
</comments>
</file>

<file path=xl/comments2.xml><?xml version="1.0" encoding="utf-8"?>
<comments xmlns="http://schemas.openxmlformats.org/spreadsheetml/2006/main">
  <authors>
    <author>PC</author>
  </authors>
  <commentList>
    <comment ref="H27" authorId="0" shapeId="0">
      <text>
        <r>
          <rPr>
            <b/>
            <sz val="9"/>
            <color indexed="81"/>
            <rFont val="Tahoma"/>
            <family val="2"/>
          </rPr>
          <t>PC:</t>
        </r>
        <r>
          <rPr>
            <b/>
            <sz val="9"/>
            <color indexed="81"/>
            <rFont val="돋움"/>
            <family val="3"/>
            <charset val="129"/>
          </rPr>
          <t>정보디교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비상
정보교과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학년에서</t>
        </r>
        <r>
          <rPr>
            <b/>
            <sz val="9"/>
            <color indexed="81"/>
            <rFont val="Tahoma"/>
            <family val="2"/>
          </rPr>
          <t xml:space="preserve"> 25</t>
        </r>
        <r>
          <rPr>
            <b/>
            <sz val="9"/>
            <color indexed="81"/>
            <rFont val="돋움"/>
            <family val="3"/>
            <charset val="129"/>
          </rPr>
          <t>년부터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학년으로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변경
</t>
        </r>
      </text>
    </comment>
    <comment ref="J66" authorId="0" shapeId="0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25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운영계획에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미포함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도서선정은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H78" authorId="0" shapeId="0">
      <text>
        <r>
          <rPr>
            <b/>
            <sz val="9"/>
            <color indexed="81"/>
            <rFont val="Tahoma"/>
            <family val="2"/>
          </rPr>
          <t>PC:25</t>
        </r>
        <r>
          <rPr>
            <b/>
            <sz val="9"/>
            <color indexed="81"/>
            <rFont val="돋움"/>
            <family val="3"/>
            <charset val="129"/>
          </rPr>
          <t>년에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정보교과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신설됨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학년배정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미정</t>
        </r>
      </text>
    </comment>
    <comment ref="H80" authorId="0" shapeId="0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정보디교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미래엔</t>
        </r>
      </text>
    </comment>
  </commentList>
</comments>
</file>

<file path=xl/sharedStrings.xml><?xml version="1.0" encoding="utf-8"?>
<sst xmlns="http://schemas.openxmlformats.org/spreadsheetml/2006/main" count="5684" uniqueCount="1500">
  <si>
    <t>요일</t>
  </si>
  <si>
    <t>일자</t>
  </si>
  <si>
    <t>지역</t>
  </si>
  <si>
    <t>[방문 예정 사항]</t>
    <phoneticPr fontId="13" type="noConversion"/>
  </si>
  <si>
    <t>화</t>
  </si>
  <si>
    <t>수</t>
  </si>
  <si>
    <t>목</t>
  </si>
  <si>
    <t>금</t>
  </si>
  <si>
    <t>중점 영업 사항</t>
    <phoneticPr fontId="3" type="noConversion"/>
  </si>
  <si>
    <t xml:space="preserve">[ 중점 영업사항 ]  </t>
    <phoneticPr fontId="3" type="noConversion"/>
  </si>
  <si>
    <t>2025년 과목별 미선정학교 현황 및 영업목표</t>
    <phoneticPr fontId="3" type="noConversion"/>
  </si>
  <si>
    <t>서울</t>
    <phoneticPr fontId="3" type="noConversion"/>
  </si>
  <si>
    <t>지역</t>
    <phoneticPr fontId="3" type="noConversion"/>
  </si>
  <si>
    <t>전체 학교수</t>
    <phoneticPr fontId="3" type="noConversion"/>
  </si>
  <si>
    <t>미술1</t>
    <phoneticPr fontId="3" type="noConversion"/>
  </si>
  <si>
    <t>체육1</t>
    <phoneticPr fontId="3" type="noConversion"/>
  </si>
  <si>
    <t>정보</t>
    <phoneticPr fontId="3" type="noConversion"/>
  </si>
  <si>
    <t>진로와 직업</t>
    <phoneticPr fontId="3" type="noConversion"/>
  </si>
  <si>
    <t>보건</t>
    <phoneticPr fontId="3" type="noConversion"/>
  </si>
  <si>
    <t>노원/도봉/강북</t>
    <phoneticPr fontId="3" type="noConversion"/>
  </si>
  <si>
    <t>동작/관악</t>
    <phoneticPr fontId="3" type="noConversion"/>
  </si>
  <si>
    <t>강남/서초</t>
    <phoneticPr fontId="3" type="noConversion"/>
  </si>
  <si>
    <t>동대문/중랑/광진/성동</t>
    <phoneticPr fontId="3" type="noConversion"/>
  </si>
  <si>
    <t>강동/송파</t>
    <phoneticPr fontId="3" type="noConversion"/>
  </si>
  <si>
    <t>성북/종로/중구</t>
    <phoneticPr fontId="3" type="noConversion"/>
  </si>
  <si>
    <t>합계</t>
    <phoneticPr fontId="3" type="noConversion"/>
  </si>
  <si>
    <t>씨마스 채택 학교수</t>
    <phoneticPr fontId="3" type="noConversion"/>
  </si>
  <si>
    <t>채택률</t>
    <phoneticPr fontId="3" type="noConversion"/>
  </si>
  <si>
    <t>영업목표(학교수)</t>
    <phoneticPr fontId="3" type="noConversion"/>
  </si>
  <si>
    <t>미선정 학교수 대비 영업목표(%)</t>
    <phoneticPr fontId="3" type="noConversion"/>
  </si>
  <si>
    <t>경기</t>
    <phoneticPr fontId="3" type="noConversion"/>
  </si>
  <si>
    <t>구리/남양주</t>
    <phoneticPr fontId="3" type="noConversion"/>
  </si>
  <si>
    <t>성남</t>
    <phoneticPr fontId="3" type="noConversion"/>
  </si>
  <si>
    <t>양평/가평</t>
    <phoneticPr fontId="3" type="noConversion"/>
  </si>
  <si>
    <t>여주/이천</t>
    <phoneticPr fontId="3" type="noConversion"/>
  </si>
  <si>
    <t>하남/광주</t>
    <phoneticPr fontId="3" type="noConversion"/>
  </si>
  <si>
    <t>미선정학교 합계</t>
    <phoneticPr fontId="3" type="noConversion"/>
  </si>
  <si>
    <t>지역합계</t>
    <phoneticPr fontId="3" type="noConversion"/>
  </si>
  <si>
    <t>영업목표(학교수)</t>
    <phoneticPr fontId="3" type="noConversion"/>
  </si>
  <si>
    <t>연번</t>
    <phoneticPr fontId="3" type="noConversion"/>
  </si>
  <si>
    <t>지역</t>
    <phoneticPr fontId="3" type="noConversion"/>
  </si>
  <si>
    <t>학교명</t>
    <phoneticPr fontId="3" type="noConversion"/>
  </si>
  <si>
    <t>설립구분</t>
    <phoneticPr fontId="3" type="noConversion"/>
  </si>
  <si>
    <t>학생수</t>
    <phoneticPr fontId="3" type="noConversion"/>
  </si>
  <si>
    <t>미술1</t>
    <phoneticPr fontId="3" type="noConversion"/>
  </si>
  <si>
    <t>체육1</t>
    <phoneticPr fontId="3" type="noConversion"/>
  </si>
  <si>
    <t>정보</t>
    <phoneticPr fontId="3" type="noConversion"/>
  </si>
  <si>
    <t>진로와 직업</t>
    <phoneticPr fontId="3" type="noConversion"/>
  </si>
  <si>
    <t>보건</t>
    <phoneticPr fontId="3" type="noConversion"/>
  </si>
  <si>
    <t>집필진</t>
    <phoneticPr fontId="3" type="noConversion"/>
  </si>
  <si>
    <t>검토진</t>
    <phoneticPr fontId="3" type="noConversion"/>
  </si>
  <si>
    <t>80%지인(체육)</t>
    <phoneticPr fontId="3" type="noConversion"/>
  </si>
  <si>
    <t>타사 집필진</t>
    <phoneticPr fontId="3" type="noConversion"/>
  </si>
  <si>
    <t>비고</t>
    <phoneticPr fontId="3" type="noConversion"/>
  </si>
  <si>
    <t>노원구</t>
    <phoneticPr fontId="3" type="noConversion"/>
  </si>
  <si>
    <t>노일중학교</t>
  </si>
  <si>
    <t>공립</t>
  </si>
  <si>
    <t>해냄</t>
    <phoneticPr fontId="3" type="noConversion"/>
  </si>
  <si>
    <t>113+113</t>
    <phoneticPr fontId="3" type="noConversion"/>
  </si>
  <si>
    <t>미래엔</t>
    <phoneticPr fontId="27" type="noConversion"/>
  </si>
  <si>
    <t>천재</t>
    <phoneticPr fontId="3" type="noConversion"/>
  </si>
  <si>
    <t>천재</t>
    <phoneticPr fontId="3" type="noConversion"/>
  </si>
  <si>
    <t>고순주(진로)</t>
    <phoneticPr fontId="3" type="noConversion"/>
  </si>
  <si>
    <t>윤태환(체육_윤종필)</t>
    <phoneticPr fontId="3" type="noConversion"/>
  </si>
  <si>
    <t>노원구</t>
    <phoneticPr fontId="3" type="noConversion"/>
  </si>
  <si>
    <t>상경중학교</t>
  </si>
  <si>
    <t>지학사</t>
    <phoneticPr fontId="3" type="noConversion"/>
  </si>
  <si>
    <t>172+172</t>
    <phoneticPr fontId="3" type="noConversion"/>
  </si>
  <si>
    <t>이오북스</t>
    <phoneticPr fontId="3" type="noConversion"/>
  </si>
  <si>
    <t>비상</t>
    <phoneticPr fontId="3" type="noConversion"/>
  </si>
  <si>
    <t>상계제일중학교</t>
  </si>
  <si>
    <t>미진사</t>
    <phoneticPr fontId="3" type="noConversion"/>
  </si>
  <si>
    <t>삼양</t>
    <phoneticPr fontId="3" type="noConversion"/>
  </si>
  <si>
    <t>김연수(미술, 미진사)</t>
    <phoneticPr fontId="3" type="noConversion"/>
  </si>
  <si>
    <t>상계중학교</t>
  </si>
  <si>
    <t>(미선정)</t>
    <phoneticPr fontId="3" type="noConversion"/>
  </si>
  <si>
    <t>상명중학교</t>
  </si>
  <si>
    <t>사립</t>
  </si>
  <si>
    <t>창비</t>
    <phoneticPr fontId="3" type="noConversion"/>
  </si>
  <si>
    <t>279+279</t>
    <phoneticPr fontId="3" type="noConversion"/>
  </si>
  <si>
    <t>장준혁(체육)</t>
    <phoneticPr fontId="3" type="noConversion"/>
  </si>
  <si>
    <t>한제희(체육_서진환)</t>
    <phoneticPr fontId="3" type="noConversion"/>
  </si>
  <si>
    <t>상원중학교</t>
  </si>
  <si>
    <t>미진사</t>
    <phoneticPr fontId="3" type="noConversion"/>
  </si>
  <si>
    <t>신상중학교</t>
  </si>
  <si>
    <t>동아</t>
    <phoneticPr fontId="27" type="noConversion"/>
  </si>
  <si>
    <t>와이비엠</t>
    <phoneticPr fontId="27" type="noConversion"/>
  </si>
  <si>
    <t>삼양</t>
    <phoneticPr fontId="27" type="noConversion"/>
  </si>
  <si>
    <t>오성찬(한국사)</t>
    <phoneticPr fontId="3" type="noConversion"/>
  </si>
  <si>
    <t>온곡중학교</t>
  </si>
  <si>
    <t>해냄</t>
    <phoneticPr fontId="27" type="noConversion"/>
  </si>
  <si>
    <t>재현중학교</t>
  </si>
  <si>
    <t>(미선정)</t>
    <phoneticPr fontId="3" type="noConversion"/>
  </si>
  <si>
    <t>미래엔</t>
    <phoneticPr fontId="27" type="noConversion"/>
  </si>
  <si>
    <t>중계중학교</t>
  </si>
  <si>
    <t>300+300</t>
    <phoneticPr fontId="3" type="noConversion"/>
  </si>
  <si>
    <t>도봉구</t>
    <phoneticPr fontId="3" type="noConversion"/>
  </si>
  <si>
    <t>노곡중학교</t>
  </si>
  <si>
    <t>비상</t>
    <phoneticPr fontId="27" type="noConversion"/>
  </si>
  <si>
    <t>삼양</t>
    <phoneticPr fontId="27" type="noConversion"/>
  </si>
  <si>
    <t>도봉중학교</t>
  </si>
  <si>
    <t>채움교육</t>
    <phoneticPr fontId="27" type="noConversion"/>
  </si>
  <si>
    <t>방학중학교</t>
  </si>
  <si>
    <t>비상</t>
    <phoneticPr fontId="3" type="noConversion"/>
  </si>
  <si>
    <t>동아</t>
    <phoneticPr fontId="27" type="noConversion"/>
  </si>
  <si>
    <t>천재2</t>
    <phoneticPr fontId="3" type="noConversion"/>
  </si>
  <si>
    <t>북서울중학교</t>
  </si>
  <si>
    <t>창비</t>
    <phoneticPr fontId="3" type="noConversion"/>
  </si>
  <si>
    <t>선덕중학교</t>
  </si>
  <si>
    <t>금성</t>
    <phoneticPr fontId="27" type="noConversion"/>
  </si>
  <si>
    <t>(미선정)</t>
    <phoneticPr fontId="3" type="noConversion"/>
  </si>
  <si>
    <t>신도봉중학교</t>
  </si>
  <si>
    <t>씨마스(3)</t>
    <phoneticPr fontId="27" type="noConversion"/>
  </si>
  <si>
    <t>이오미디어</t>
    <phoneticPr fontId="27" type="noConversion"/>
  </si>
  <si>
    <t>신방학중학교</t>
  </si>
  <si>
    <t>121+121</t>
    <phoneticPr fontId="3" type="noConversion"/>
  </si>
  <si>
    <t>김인홍(체육_편검)</t>
    <phoneticPr fontId="3" type="noConversion"/>
  </si>
  <si>
    <t>김인홍(체육_김동호)</t>
    <phoneticPr fontId="3" type="noConversion"/>
  </si>
  <si>
    <t>창동중학교</t>
  </si>
  <si>
    <t>지학사</t>
    <phoneticPr fontId="27" type="noConversion"/>
  </si>
  <si>
    <t>천재</t>
    <phoneticPr fontId="27" type="noConversion"/>
  </si>
  <si>
    <t>미래엔</t>
    <phoneticPr fontId="3" type="noConversion"/>
  </si>
  <si>
    <t>미래엔</t>
    <phoneticPr fontId="3" type="noConversion"/>
  </si>
  <si>
    <t>와이비엠</t>
    <phoneticPr fontId="27" type="noConversion"/>
  </si>
  <si>
    <t>조소영(미술, 미진사)</t>
    <phoneticPr fontId="3" type="noConversion"/>
  </si>
  <si>
    <t>전)창동중</t>
    <phoneticPr fontId="3" type="noConversion"/>
  </si>
  <si>
    <t>창북중학교</t>
  </si>
  <si>
    <t>천재</t>
    <phoneticPr fontId="27" type="noConversion"/>
  </si>
  <si>
    <t>씨마스(2)</t>
    <phoneticPr fontId="27" type="noConversion"/>
  </si>
  <si>
    <t>최영은(보건,지구문화)</t>
    <phoneticPr fontId="3" type="noConversion"/>
  </si>
  <si>
    <t>창일중학교</t>
  </si>
  <si>
    <t>198+198</t>
    <phoneticPr fontId="3" type="noConversion"/>
  </si>
  <si>
    <t>도봉구</t>
    <phoneticPr fontId="3" type="noConversion"/>
  </si>
  <si>
    <t>효문중학교</t>
  </si>
  <si>
    <t>강북구</t>
    <phoneticPr fontId="3" type="noConversion"/>
  </si>
  <si>
    <t>강북구</t>
    <phoneticPr fontId="3" type="noConversion"/>
  </si>
  <si>
    <t>강북중학교</t>
  </si>
  <si>
    <t>금성</t>
    <phoneticPr fontId="3" type="noConversion"/>
  </si>
  <si>
    <t>삼각산중학교</t>
  </si>
  <si>
    <t>서라벌중학교</t>
  </si>
  <si>
    <t>씨마스(2)</t>
    <phoneticPr fontId="3" type="noConversion"/>
  </si>
  <si>
    <t>솔샘중학교(미양중)</t>
    <phoneticPr fontId="3" type="noConversion"/>
  </si>
  <si>
    <t>113+113</t>
    <phoneticPr fontId="3" type="noConversion"/>
  </si>
  <si>
    <t>이오미디어</t>
    <phoneticPr fontId="27" type="noConversion"/>
  </si>
  <si>
    <t>수송중학교</t>
  </si>
  <si>
    <t>와이비엠</t>
    <phoneticPr fontId="3" type="noConversion"/>
  </si>
  <si>
    <t>수유중학교</t>
  </si>
  <si>
    <t>신일중학교</t>
  </si>
  <si>
    <t>교문사</t>
    <phoneticPr fontId="27" type="noConversion"/>
  </si>
  <si>
    <t>미선정</t>
    <phoneticPr fontId="3" type="noConversion"/>
  </si>
  <si>
    <t>채택</t>
    <phoneticPr fontId="3" type="noConversion"/>
  </si>
  <si>
    <t>관악구</t>
    <phoneticPr fontId="3" type="noConversion"/>
  </si>
  <si>
    <t>광신중학교</t>
  </si>
  <si>
    <t>리베르</t>
    <phoneticPr fontId="3" type="noConversion"/>
  </si>
  <si>
    <t>80+80</t>
    <phoneticPr fontId="3" type="noConversion"/>
  </si>
  <si>
    <t>한빛</t>
    <phoneticPr fontId="3" type="noConversion"/>
  </si>
  <si>
    <t>구암중학교</t>
  </si>
  <si>
    <t>이혜림(소프트웨생활_정보)</t>
    <phoneticPr fontId="3" type="noConversion"/>
  </si>
  <si>
    <t>김지은(체육_윤종필)</t>
    <phoneticPr fontId="3" type="noConversion"/>
  </si>
  <si>
    <t>정경진(미술_주시와_B)</t>
    <phoneticPr fontId="3" type="noConversion"/>
  </si>
  <si>
    <t>남서울중학교</t>
  </si>
  <si>
    <t>미성중학교</t>
  </si>
  <si>
    <t>156+0</t>
    <phoneticPr fontId="3" type="noConversion"/>
  </si>
  <si>
    <t>비상</t>
    <phoneticPr fontId="27" type="noConversion"/>
  </si>
  <si>
    <t>박경민(보건,천재)</t>
    <phoneticPr fontId="3" type="noConversion"/>
  </si>
  <si>
    <t>관악구</t>
    <phoneticPr fontId="3" type="noConversion"/>
  </si>
  <si>
    <t>봉림중학교</t>
  </si>
  <si>
    <t>삼성중학교</t>
  </si>
  <si>
    <t>성안당</t>
    <phoneticPr fontId="27" type="noConversion"/>
  </si>
  <si>
    <t>정신자(보건_김선아)</t>
    <phoneticPr fontId="3" type="noConversion"/>
  </si>
  <si>
    <t>서건석 교장(고체,와이비엠)</t>
    <phoneticPr fontId="3" type="noConversion"/>
  </si>
  <si>
    <t>성보중학교</t>
  </si>
  <si>
    <t>교학사</t>
    <phoneticPr fontId="3" type="noConversion"/>
  </si>
  <si>
    <t>(미선정)3</t>
    <phoneticPr fontId="3" type="noConversion"/>
  </si>
  <si>
    <t>신관중학교</t>
  </si>
  <si>
    <t>인헌중학교</t>
  </si>
  <si>
    <t>미진사</t>
    <phoneticPr fontId="27" type="noConversion"/>
  </si>
  <si>
    <t>동작구</t>
    <phoneticPr fontId="3" type="noConversion"/>
  </si>
  <si>
    <t>강남중학교</t>
  </si>
  <si>
    <t>천재</t>
    <phoneticPr fontId="27" type="noConversion"/>
  </si>
  <si>
    <t>박현아(미술,리베르)</t>
    <phoneticPr fontId="3" type="noConversion"/>
  </si>
  <si>
    <t>국사봉중학교</t>
  </si>
  <si>
    <t>남성중학교</t>
  </si>
  <si>
    <t>김연희(진로,미래엔)</t>
    <phoneticPr fontId="3" type="noConversion"/>
  </si>
  <si>
    <t>동작중학교</t>
  </si>
  <si>
    <t>금성</t>
    <phoneticPr fontId="27" type="noConversion"/>
  </si>
  <si>
    <t>문창중학교</t>
  </si>
  <si>
    <t>사당중학교</t>
  </si>
  <si>
    <t>타임기획</t>
    <phoneticPr fontId="27" type="noConversion"/>
  </si>
  <si>
    <t>강효경(미술,비상)</t>
    <phoneticPr fontId="3" type="noConversion"/>
  </si>
  <si>
    <t>상현중학교</t>
  </si>
  <si>
    <t>161+161</t>
    <phoneticPr fontId="3" type="noConversion"/>
  </si>
  <si>
    <t>김윤희(진로,이오미)</t>
    <phoneticPr fontId="3" type="noConversion"/>
  </si>
  <si>
    <t>성남중학교</t>
  </si>
  <si>
    <t>교학사</t>
    <phoneticPr fontId="3" type="noConversion"/>
  </si>
  <si>
    <t>장승중학교</t>
  </si>
  <si>
    <t>다락원</t>
    <phoneticPr fontId="3" type="noConversion"/>
  </si>
  <si>
    <t>204+204</t>
    <phoneticPr fontId="3" type="noConversion"/>
  </si>
  <si>
    <t>윤종필(중 체육)</t>
    <phoneticPr fontId="3" type="noConversion"/>
  </si>
  <si>
    <t>김석현(체육,교학사)</t>
    <phoneticPr fontId="3" type="noConversion"/>
  </si>
  <si>
    <t>중앙대사범대부속중학교</t>
    <phoneticPr fontId="3" type="noConversion"/>
  </si>
  <si>
    <t>미래엔</t>
    <phoneticPr fontId="3" type="noConversion"/>
  </si>
  <si>
    <t>강남구</t>
    <phoneticPr fontId="3" type="noConversion"/>
  </si>
  <si>
    <t>개원중학교</t>
  </si>
  <si>
    <t>단국대사범대부속중</t>
    <phoneticPr fontId="3" type="noConversion"/>
  </si>
  <si>
    <t>대왕중학교</t>
  </si>
  <si>
    <t>창비</t>
    <phoneticPr fontId="27" type="noConversion"/>
  </si>
  <si>
    <t>대청중학교</t>
  </si>
  <si>
    <t>교학사</t>
    <phoneticPr fontId="27" type="noConversion"/>
  </si>
  <si>
    <t>봉은중학교</t>
  </si>
  <si>
    <t>107+107</t>
    <phoneticPr fontId="3" type="noConversion"/>
  </si>
  <si>
    <t>씨마스(2)</t>
    <phoneticPr fontId="27" type="noConversion"/>
  </si>
  <si>
    <t>김주경(진로,비상)</t>
    <phoneticPr fontId="3" type="noConversion"/>
  </si>
  <si>
    <t>수서중학교</t>
  </si>
  <si>
    <t>김지연+송승연(미술,천재)</t>
    <phoneticPr fontId="3" type="noConversion"/>
  </si>
  <si>
    <t>신구중학교</t>
  </si>
  <si>
    <t>85+85</t>
    <phoneticPr fontId="3" type="noConversion"/>
  </si>
  <si>
    <t>이시연(체육_윤종필)</t>
    <phoneticPr fontId="3" type="noConversion"/>
  </si>
  <si>
    <t>강남구</t>
    <phoneticPr fontId="3" type="noConversion"/>
  </si>
  <si>
    <t>압구정중학교</t>
  </si>
  <si>
    <t>교학도서</t>
    <phoneticPr fontId="27" type="noConversion"/>
  </si>
  <si>
    <t>언주중학교</t>
  </si>
  <si>
    <t>미래엔(2)</t>
    <phoneticPr fontId="27" type="noConversion"/>
  </si>
  <si>
    <t>금성2</t>
    <phoneticPr fontId="27" type="noConversion"/>
  </si>
  <si>
    <t>중동중학교</t>
  </si>
  <si>
    <t>이용진(정보,천재)</t>
    <phoneticPr fontId="3" type="noConversion"/>
  </si>
  <si>
    <t>진선여자중학교</t>
  </si>
  <si>
    <t>휘문중학교</t>
  </si>
  <si>
    <t>서초구</t>
    <phoneticPr fontId="3" type="noConversion"/>
  </si>
  <si>
    <t>내곡중학교</t>
  </si>
  <si>
    <t>정한결(중 정보)</t>
    <phoneticPr fontId="3" type="noConversion"/>
  </si>
  <si>
    <t>서초구</t>
    <phoneticPr fontId="3" type="noConversion"/>
  </si>
  <si>
    <t>서문여자중학교</t>
  </si>
  <si>
    <t>채움</t>
    <phoneticPr fontId="3" type="noConversion"/>
  </si>
  <si>
    <t>김성웅(체육_윤종필)</t>
    <phoneticPr fontId="3" type="noConversion"/>
  </si>
  <si>
    <t>서일중학교</t>
  </si>
  <si>
    <t>352+352</t>
    <phoneticPr fontId="3" type="noConversion"/>
  </si>
  <si>
    <t xml:space="preserve">비상 </t>
    <phoneticPr fontId="3" type="noConversion"/>
  </si>
  <si>
    <t>방도훈(체육_윤종필)</t>
    <phoneticPr fontId="3" type="noConversion"/>
  </si>
  <si>
    <t>신동중학교</t>
  </si>
  <si>
    <t>김유미(체육_김동호)</t>
    <phoneticPr fontId="3" type="noConversion"/>
  </si>
  <si>
    <t>영동중학교</t>
  </si>
  <si>
    <t>원촌중학교</t>
  </si>
  <si>
    <t>동대문구</t>
    <phoneticPr fontId="3" type="noConversion"/>
  </si>
  <si>
    <t>경희여자중학교</t>
  </si>
  <si>
    <t>110+110</t>
    <phoneticPr fontId="3" type="noConversion"/>
  </si>
  <si>
    <t>채움교육</t>
    <phoneticPr fontId="3" type="noConversion"/>
  </si>
  <si>
    <t>금성</t>
    <phoneticPr fontId="3" type="noConversion"/>
  </si>
  <si>
    <t>권이혁 (중 진로)</t>
    <phoneticPr fontId="3" type="noConversion"/>
  </si>
  <si>
    <t>경희중학교</t>
  </si>
  <si>
    <t>동국대학교사범대학부속중</t>
    <phoneticPr fontId="3" type="noConversion"/>
  </si>
  <si>
    <t>동아</t>
    <phoneticPr fontId="3" type="noConversion"/>
  </si>
  <si>
    <t>174+174</t>
    <phoneticPr fontId="3" type="noConversion"/>
  </si>
  <si>
    <t>x</t>
    <phoneticPr fontId="3" type="noConversion"/>
  </si>
  <si>
    <t>김민섭(중 체육_편검)</t>
    <phoneticPr fontId="3" type="noConversion"/>
  </si>
  <si>
    <t>동대문중학교</t>
  </si>
  <si>
    <t>이인규(미술,다락원)</t>
    <phoneticPr fontId="3" type="noConversion"/>
  </si>
  <si>
    <t>숭인중학교</t>
  </si>
  <si>
    <t>창비</t>
    <phoneticPr fontId="27" type="noConversion"/>
  </si>
  <si>
    <t>(미선정)</t>
  </si>
  <si>
    <t>비상</t>
    <phoneticPr fontId="27" type="noConversion"/>
  </si>
  <si>
    <t>장평중학교</t>
  </si>
  <si>
    <t>교학사(비상)</t>
    <phoneticPr fontId="3" type="noConversion"/>
  </si>
  <si>
    <t>X</t>
    <phoneticPr fontId="3" type="noConversion"/>
  </si>
  <si>
    <t>이승엽(정보,교학사)</t>
    <phoneticPr fontId="3" type="noConversion"/>
  </si>
  <si>
    <t>전농중학교</t>
  </si>
  <si>
    <t>미선정</t>
    <phoneticPr fontId="27" type="noConversion"/>
  </si>
  <si>
    <t>전동중학교</t>
  </si>
  <si>
    <t>금성</t>
    <phoneticPr fontId="27" type="noConversion"/>
  </si>
  <si>
    <t>정화여자중학교</t>
  </si>
  <si>
    <t>휘경여자중학교</t>
  </si>
  <si>
    <t>휘경중학교</t>
  </si>
  <si>
    <t>182+182</t>
    <phoneticPr fontId="3" type="noConversion"/>
  </si>
  <si>
    <t>중랑구</t>
    <phoneticPr fontId="3" type="noConversion"/>
  </si>
  <si>
    <t>동원중학교</t>
  </si>
  <si>
    <t>면목중학교</t>
  </si>
  <si>
    <t>176+176</t>
    <phoneticPr fontId="3" type="noConversion"/>
  </si>
  <si>
    <t>씨마스(1)</t>
    <phoneticPr fontId="3" type="noConversion"/>
  </si>
  <si>
    <t>봉화중학교</t>
  </si>
  <si>
    <t>상봉중학교</t>
  </si>
  <si>
    <t xml:space="preserve">와이비엠 </t>
    <phoneticPr fontId="3" type="noConversion"/>
  </si>
  <si>
    <t>송곡여자중학교</t>
  </si>
  <si>
    <t>72+72</t>
    <phoneticPr fontId="3" type="noConversion"/>
  </si>
  <si>
    <t>2학년</t>
    <phoneticPr fontId="3" type="noConversion"/>
  </si>
  <si>
    <t>신현중학교</t>
  </si>
  <si>
    <t>(미선정)</t>
    <phoneticPr fontId="3" type="noConversion"/>
  </si>
  <si>
    <t>비상</t>
    <phoneticPr fontId="3" type="noConversion"/>
  </si>
  <si>
    <t>김유진(체육,비상)</t>
    <phoneticPr fontId="3" type="noConversion"/>
  </si>
  <si>
    <t>영란여자중학교</t>
  </si>
  <si>
    <t>교학도서</t>
    <phoneticPr fontId="3" type="noConversion"/>
  </si>
  <si>
    <t>하인성(중체육_편검)</t>
    <phoneticPr fontId="3" type="noConversion"/>
  </si>
  <si>
    <t>하인성(체육_서진환)</t>
    <phoneticPr fontId="3" type="noConversion"/>
  </si>
  <si>
    <t>용마중학교</t>
  </si>
  <si>
    <t>149+149</t>
    <phoneticPr fontId="3" type="noConversion"/>
  </si>
  <si>
    <t>원묵중학교</t>
  </si>
  <si>
    <t>장안중학교</t>
  </si>
  <si>
    <t>와이비엠</t>
    <phoneticPr fontId="3" type="noConversion"/>
  </si>
  <si>
    <t>중랑중학교</t>
  </si>
  <si>
    <t>미래엔</t>
    <phoneticPr fontId="3" type="noConversion"/>
  </si>
  <si>
    <t>X</t>
    <phoneticPr fontId="3" type="noConversion"/>
  </si>
  <si>
    <t>박진욱(진로_임준호 차장)</t>
    <phoneticPr fontId="3" type="noConversion"/>
  </si>
  <si>
    <t>무료캠프</t>
    <phoneticPr fontId="3" type="noConversion"/>
  </si>
  <si>
    <t>중화중학교</t>
  </si>
  <si>
    <t>교학사</t>
    <phoneticPr fontId="3" type="noConversion"/>
  </si>
  <si>
    <t>태릉중학교</t>
  </si>
  <si>
    <t>체육과건강</t>
    <phoneticPr fontId="3" type="noConversion"/>
  </si>
  <si>
    <t>혜원여자중학교</t>
  </si>
  <si>
    <t>지구문화</t>
    <phoneticPr fontId="3" type="noConversion"/>
  </si>
  <si>
    <t>광진구</t>
    <phoneticPr fontId="3" type="noConversion"/>
  </si>
  <si>
    <t>건국대사범대학부속중</t>
    <phoneticPr fontId="3" type="noConversion"/>
  </si>
  <si>
    <t>211+211</t>
    <phoneticPr fontId="3" type="noConversion"/>
  </si>
  <si>
    <t>서진환 (중 체육)</t>
    <phoneticPr fontId="3" type="noConversion"/>
  </si>
  <si>
    <t>최대일(진로,미래엔)</t>
    <phoneticPr fontId="3" type="noConversion"/>
  </si>
  <si>
    <t>광진구</t>
    <phoneticPr fontId="3" type="noConversion"/>
  </si>
  <si>
    <t>광장중학교</t>
  </si>
  <si>
    <t>삼양</t>
    <phoneticPr fontId="3" type="noConversion"/>
  </si>
  <si>
    <t>광진중학교</t>
  </si>
  <si>
    <t>교학도서</t>
    <phoneticPr fontId="3" type="noConversion"/>
  </si>
  <si>
    <t>대원국제중학교</t>
  </si>
  <si>
    <t>양병석(미술),한창석(진로)</t>
    <phoneticPr fontId="3" type="noConversion"/>
  </si>
  <si>
    <t>동국대사대부속여자중</t>
    <phoneticPr fontId="3" type="noConversion"/>
  </si>
  <si>
    <t>162+162</t>
    <phoneticPr fontId="3" type="noConversion"/>
  </si>
  <si>
    <t>김민섭(체육_서진환)</t>
    <phoneticPr fontId="3" type="noConversion"/>
  </si>
  <si>
    <t>선화예술중학교</t>
    <phoneticPr fontId="3" type="noConversion"/>
  </si>
  <si>
    <t>296+296</t>
    <phoneticPr fontId="3" type="noConversion"/>
  </si>
  <si>
    <t>조우호(미술)</t>
    <phoneticPr fontId="3" type="noConversion"/>
  </si>
  <si>
    <t>김지인(미술,금성)</t>
    <phoneticPr fontId="3" type="noConversion"/>
  </si>
  <si>
    <t>신양중학교</t>
  </si>
  <si>
    <t>102+0</t>
    <phoneticPr fontId="3" type="noConversion"/>
  </si>
  <si>
    <t>박소영(중 미술)</t>
    <phoneticPr fontId="3" type="noConversion"/>
  </si>
  <si>
    <t>문명아(보건,천재)</t>
    <phoneticPr fontId="3" type="noConversion"/>
  </si>
  <si>
    <t>성동구</t>
    <phoneticPr fontId="3" type="noConversion"/>
  </si>
  <si>
    <t>경수중학교</t>
  </si>
  <si>
    <t>95+0</t>
    <phoneticPr fontId="3" type="noConversion"/>
  </si>
  <si>
    <t>성동구</t>
    <phoneticPr fontId="3" type="noConversion"/>
  </si>
  <si>
    <t>경일중학교</t>
  </si>
  <si>
    <t>75+75</t>
    <phoneticPr fontId="3" type="noConversion"/>
  </si>
  <si>
    <t>안준규(체육_윤종필,김동호)</t>
    <phoneticPr fontId="3" type="noConversion"/>
  </si>
  <si>
    <t>광희중학교</t>
  </si>
  <si>
    <t>동마중학교</t>
  </si>
  <si>
    <t>마장중학교</t>
  </si>
  <si>
    <t>다락원</t>
    <phoneticPr fontId="3" type="noConversion"/>
  </si>
  <si>
    <t>성안당</t>
    <phoneticPr fontId="3" type="noConversion"/>
  </si>
  <si>
    <t>무학중학교</t>
  </si>
  <si>
    <t>김민영(미술,동아), 정재리(소생,교학사)</t>
    <phoneticPr fontId="3" type="noConversion"/>
  </si>
  <si>
    <t>성수중학교</t>
  </si>
  <si>
    <t>이오북스</t>
    <phoneticPr fontId="3" type="noConversion"/>
  </si>
  <si>
    <t>성원중학교</t>
  </si>
  <si>
    <t>옥정중학교</t>
  </si>
  <si>
    <t>해냄</t>
    <phoneticPr fontId="3" type="noConversion"/>
  </si>
  <si>
    <t>179+179</t>
    <phoneticPr fontId="3" type="noConversion"/>
  </si>
  <si>
    <t>지구문화</t>
    <phoneticPr fontId="3" type="noConversion"/>
  </si>
  <si>
    <t>황선하(중 미술_편검)</t>
    <phoneticPr fontId="3" type="noConversion"/>
  </si>
  <si>
    <t>한양대사범대학부속중</t>
    <phoneticPr fontId="3" type="noConversion"/>
  </si>
  <si>
    <t>석현호(중 체육_편검)</t>
    <phoneticPr fontId="3" type="noConversion"/>
  </si>
  <si>
    <t>권창훈(체육_서진환)</t>
    <phoneticPr fontId="3" type="noConversion"/>
  </si>
  <si>
    <t>행당중학교</t>
  </si>
  <si>
    <t>81+0</t>
    <phoneticPr fontId="3" type="noConversion"/>
  </si>
  <si>
    <t>채택</t>
    <phoneticPr fontId="3" type="noConversion"/>
  </si>
  <si>
    <t>강동구</t>
    <phoneticPr fontId="3" type="noConversion"/>
  </si>
  <si>
    <t>강동중학교</t>
  </si>
  <si>
    <t>미진사</t>
    <phoneticPr fontId="27" type="noConversion"/>
  </si>
  <si>
    <t>체육과건강</t>
    <phoneticPr fontId="27" type="noConversion"/>
  </si>
  <si>
    <t>강명중학교</t>
  </si>
  <si>
    <t>204+204</t>
    <phoneticPr fontId="3" type="noConversion"/>
  </si>
  <si>
    <t>구나영(체육_윤종필)</t>
    <phoneticPr fontId="3" type="noConversion"/>
  </si>
  <si>
    <t>송다명(정보,길벗)</t>
    <phoneticPr fontId="3" type="noConversion"/>
  </si>
  <si>
    <t>강빛중학교</t>
  </si>
  <si>
    <t>동아</t>
    <phoneticPr fontId="27" type="noConversion"/>
  </si>
  <si>
    <t>고덕중학교</t>
  </si>
  <si>
    <t>지학사</t>
    <phoneticPr fontId="27" type="noConversion"/>
  </si>
  <si>
    <t>비상</t>
    <phoneticPr fontId="27" type="noConversion"/>
  </si>
  <si>
    <t>정아름(진로,미래엔), 김소현(미술,천재)</t>
    <phoneticPr fontId="3" type="noConversion"/>
  </si>
  <si>
    <t>동북중학교</t>
  </si>
  <si>
    <t>채움교육</t>
    <phoneticPr fontId="27" type="noConversion"/>
  </si>
  <si>
    <t>배재중학교</t>
  </si>
  <si>
    <t>아침나라</t>
    <phoneticPr fontId="27" type="noConversion"/>
  </si>
  <si>
    <t>상일중학교</t>
  </si>
  <si>
    <t>186+186</t>
    <phoneticPr fontId="3" type="noConversion"/>
  </si>
  <si>
    <t>성덕여자중학교</t>
  </si>
  <si>
    <t>강동구</t>
    <phoneticPr fontId="3" type="noConversion"/>
  </si>
  <si>
    <t>천호중학교</t>
  </si>
  <si>
    <t>174+0</t>
    <phoneticPr fontId="3" type="noConversion"/>
  </si>
  <si>
    <t>교학사</t>
    <phoneticPr fontId="27" type="noConversion"/>
  </si>
  <si>
    <t>이오북스</t>
    <phoneticPr fontId="27" type="noConversion"/>
  </si>
  <si>
    <t>한영중학교</t>
  </si>
  <si>
    <t>해냄</t>
    <phoneticPr fontId="27" type="noConversion"/>
  </si>
  <si>
    <t>156+0</t>
    <phoneticPr fontId="3" type="noConversion"/>
  </si>
  <si>
    <t>송파구</t>
    <phoneticPr fontId="3" type="noConversion"/>
  </si>
  <si>
    <t>문정중학교</t>
  </si>
  <si>
    <t>삼양</t>
    <phoneticPr fontId="27" type="noConversion"/>
  </si>
  <si>
    <t>송파구</t>
    <phoneticPr fontId="3" type="noConversion"/>
  </si>
  <si>
    <t>문현중학교</t>
  </si>
  <si>
    <t>씨마스</t>
    <phoneticPr fontId="27" type="noConversion"/>
  </si>
  <si>
    <t>방산중학교</t>
  </si>
  <si>
    <t>천재</t>
    <phoneticPr fontId="3" type="noConversion"/>
  </si>
  <si>
    <t>배명중학교</t>
  </si>
  <si>
    <t>보인중학교</t>
  </si>
  <si>
    <t>석촌중학교</t>
  </si>
  <si>
    <t>송파중학교</t>
  </si>
  <si>
    <t>씨마스(1,3)</t>
    <phoneticPr fontId="3" type="noConversion"/>
  </si>
  <si>
    <t>289+289</t>
    <phoneticPr fontId="3" type="noConversion"/>
  </si>
  <si>
    <t>이정현(체육_김동호)</t>
    <phoneticPr fontId="3" type="noConversion"/>
  </si>
  <si>
    <t>신천중학교</t>
  </si>
  <si>
    <t>411+411</t>
    <phoneticPr fontId="3" type="noConversion"/>
  </si>
  <si>
    <t>교학사</t>
    <phoneticPr fontId="27" type="noConversion"/>
  </si>
  <si>
    <t>길벗</t>
    <phoneticPr fontId="27" type="noConversion"/>
  </si>
  <si>
    <t>아주중학교</t>
  </si>
  <si>
    <t>영파여자중학교</t>
  </si>
  <si>
    <t>오주중학교</t>
  </si>
  <si>
    <t>위례솔중학교</t>
  </si>
  <si>
    <t>잠신중학교</t>
  </si>
  <si>
    <t>미래엔</t>
    <phoneticPr fontId="27" type="noConversion"/>
  </si>
  <si>
    <t>김혜주(체육),김용화(미술)</t>
    <phoneticPr fontId="3" type="noConversion"/>
  </si>
  <si>
    <t>잠실중학교</t>
  </si>
  <si>
    <t>천재</t>
    <phoneticPr fontId="27" type="noConversion"/>
  </si>
  <si>
    <t>이명미(체육,천재)</t>
    <phoneticPr fontId="3" type="noConversion"/>
  </si>
  <si>
    <t>정신여자중학교</t>
  </si>
  <si>
    <t>해누리중학교</t>
  </si>
  <si>
    <t>종로구</t>
    <phoneticPr fontId="3" type="noConversion"/>
  </si>
  <si>
    <t>경신중학교</t>
  </si>
  <si>
    <t>대신중학교</t>
  </si>
  <si>
    <t>금성</t>
    <phoneticPr fontId="3" type="noConversion"/>
  </si>
  <si>
    <t>77+77</t>
    <phoneticPr fontId="3" type="noConversion"/>
  </si>
  <si>
    <t>박후서(진로,지학사)</t>
    <phoneticPr fontId="3" type="noConversion"/>
  </si>
  <si>
    <t>배화여자중학교</t>
  </si>
  <si>
    <t>지구문화</t>
    <phoneticPr fontId="27" type="noConversion"/>
  </si>
  <si>
    <t>상명대사대부속여자중학교</t>
    <phoneticPr fontId="3" type="noConversion"/>
  </si>
  <si>
    <t>98+98</t>
    <phoneticPr fontId="3" type="noConversion"/>
  </si>
  <si>
    <t>종로구</t>
    <phoneticPr fontId="3" type="noConversion"/>
  </si>
  <si>
    <t>진형중(학력인정)</t>
    <phoneticPr fontId="3" type="noConversion"/>
  </si>
  <si>
    <t>291+291</t>
    <phoneticPr fontId="3" type="noConversion"/>
  </si>
  <si>
    <t>청운중학교</t>
  </si>
  <si>
    <t>중구</t>
    <phoneticPr fontId="3" type="noConversion"/>
  </si>
  <si>
    <t>대경중학교</t>
  </si>
  <si>
    <t>중구</t>
    <phoneticPr fontId="3" type="noConversion"/>
  </si>
  <si>
    <t>장원중학교</t>
  </si>
  <si>
    <t>성안당</t>
    <phoneticPr fontId="27" type="noConversion"/>
  </si>
  <si>
    <t>창덕여자중학교</t>
  </si>
  <si>
    <t>담음</t>
    <phoneticPr fontId="3" type="noConversion"/>
  </si>
  <si>
    <t>박은주(진로,미래엔),김미현(보건,담음)</t>
    <phoneticPr fontId="3" type="noConversion"/>
  </si>
  <si>
    <t>환일중학교</t>
  </si>
  <si>
    <t>성북구</t>
    <phoneticPr fontId="3" type="noConversion"/>
  </si>
  <si>
    <t>남대문중학교</t>
  </si>
  <si>
    <t>동구여자중학교</t>
  </si>
  <si>
    <t>씨마스(1)</t>
    <phoneticPr fontId="3" type="noConversion"/>
  </si>
  <si>
    <t>북악중학교</t>
  </si>
  <si>
    <t>동아</t>
    <phoneticPr fontId="27" type="noConversion"/>
  </si>
  <si>
    <t>삼선중학교</t>
  </si>
  <si>
    <t>타임기획</t>
    <phoneticPr fontId="3" type="noConversion"/>
  </si>
  <si>
    <t>길벗</t>
    <phoneticPr fontId="3" type="noConversion"/>
  </si>
  <si>
    <t>서울대사대부설중학교</t>
    <phoneticPr fontId="3" type="noConversion"/>
  </si>
  <si>
    <t>국립</t>
  </si>
  <si>
    <t>오상희(인기,웅보)</t>
    <phoneticPr fontId="3" type="noConversion"/>
  </si>
  <si>
    <t>성북구</t>
    <phoneticPr fontId="3" type="noConversion"/>
  </si>
  <si>
    <t>종암중학교</t>
  </si>
  <si>
    <t>이오미디어</t>
    <phoneticPr fontId="27" type="noConversion"/>
  </si>
  <si>
    <t>홍익대사대부속중학교</t>
    <phoneticPr fontId="3" type="noConversion"/>
  </si>
  <si>
    <t>서울권 종합</t>
    <phoneticPr fontId="3" type="noConversion"/>
  </si>
  <si>
    <t>과목</t>
    <phoneticPr fontId="3" type="noConversion"/>
  </si>
  <si>
    <t>미술</t>
    <phoneticPr fontId="3" type="noConversion"/>
  </si>
  <si>
    <t>체육</t>
    <phoneticPr fontId="3" type="noConversion"/>
  </si>
  <si>
    <t>정보</t>
    <phoneticPr fontId="3" type="noConversion"/>
  </si>
  <si>
    <t>진로</t>
    <phoneticPr fontId="3" type="noConversion"/>
  </si>
  <si>
    <t>전체학교</t>
    <phoneticPr fontId="3" type="noConversion"/>
  </si>
  <si>
    <t>미선정학교</t>
    <phoneticPr fontId="3" type="noConversion"/>
  </si>
  <si>
    <t>씨마스채택학교</t>
    <phoneticPr fontId="3" type="noConversion"/>
  </si>
  <si>
    <t>연번</t>
    <phoneticPr fontId="3" type="noConversion"/>
  </si>
  <si>
    <t>지역</t>
    <phoneticPr fontId="3" type="noConversion"/>
  </si>
  <si>
    <t>학교명</t>
    <phoneticPr fontId="3" type="noConversion"/>
  </si>
  <si>
    <t>설립구분</t>
    <phoneticPr fontId="3" type="noConversion"/>
  </si>
  <si>
    <t>학생수</t>
    <phoneticPr fontId="3" type="noConversion"/>
  </si>
  <si>
    <t>미술1</t>
    <phoneticPr fontId="3" type="noConversion"/>
  </si>
  <si>
    <t>체육</t>
    <phoneticPr fontId="3" type="noConversion"/>
  </si>
  <si>
    <t>정보</t>
    <phoneticPr fontId="3" type="noConversion"/>
  </si>
  <si>
    <t>진로와직업</t>
    <phoneticPr fontId="3" type="noConversion"/>
  </si>
  <si>
    <t>보건</t>
    <phoneticPr fontId="3" type="noConversion"/>
  </si>
  <si>
    <t>집필진</t>
    <phoneticPr fontId="3" type="noConversion"/>
  </si>
  <si>
    <t>80%지인(체육)</t>
    <phoneticPr fontId="3" type="noConversion"/>
  </si>
  <si>
    <t>검토진</t>
    <phoneticPr fontId="3" type="noConversion"/>
  </si>
  <si>
    <t>타사 집필진</t>
    <phoneticPr fontId="3" type="noConversion"/>
  </si>
  <si>
    <t>비고</t>
    <phoneticPr fontId="3" type="noConversion"/>
  </si>
  <si>
    <t>구리</t>
    <phoneticPr fontId="3" type="noConversion"/>
  </si>
  <si>
    <t>갈매중학교</t>
  </si>
  <si>
    <t>(미선정)</t>
    <phoneticPr fontId="3" type="noConversion"/>
  </si>
  <si>
    <t>미래엔</t>
    <phoneticPr fontId="3" type="noConversion"/>
  </si>
  <si>
    <t>삼양</t>
    <phoneticPr fontId="3" type="noConversion"/>
  </si>
  <si>
    <t>X</t>
    <phoneticPr fontId="3" type="noConversion"/>
  </si>
  <si>
    <t>구리중학교</t>
  </si>
  <si>
    <t>인창중학교</t>
  </si>
  <si>
    <t>창비</t>
    <phoneticPr fontId="3" type="noConversion"/>
  </si>
  <si>
    <t>장자중학교</t>
  </si>
  <si>
    <t>201+0</t>
    <phoneticPr fontId="3" type="noConversion"/>
  </si>
  <si>
    <t>구리</t>
    <phoneticPr fontId="3" type="noConversion"/>
  </si>
  <si>
    <t>토평중학교</t>
  </si>
  <si>
    <t>김수정(미술, 천재)</t>
    <phoneticPr fontId="3" type="noConversion"/>
  </si>
  <si>
    <t>남양주</t>
    <phoneticPr fontId="3" type="noConversion"/>
  </si>
  <si>
    <t>가운중학교</t>
  </si>
  <si>
    <t>미진사</t>
    <phoneticPr fontId="3" type="noConversion"/>
  </si>
  <si>
    <t>남양주</t>
    <phoneticPr fontId="3" type="noConversion"/>
  </si>
  <si>
    <t>광릉중학교</t>
  </si>
  <si>
    <t>창비</t>
    <phoneticPr fontId="3" type="noConversion"/>
  </si>
  <si>
    <t>동아</t>
    <phoneticPr fontId="3" type="noConversion"/>
  </si>
  <si>
    <t>금곡중학교</t>
  </si>
  <si>
    <t>채움</t>
    <phoneticPr fontId="3" type="noConversion"/>
  </si>
  <si>
    <t>남양주다산중학교</t>
  </si>
  <si>
    <t>덕소중학교</t>
  </si>
  <si>
    <t>길벗</t>
    <phoneticPr fontId="3" type="noConversion"/>
  </si>
  <si>
    <t>씨마스(주문X)</t>
    <phoneticPr fontId="3" type="noConversion"/>
  </si>
  <si>
    <t>송종혁(체육_김동호)</t>
    <phoneticPr fontId="3" type="noConversion"/>
  </si>
  <si>
    <t>이선영(보건, 담음)</t>
    <phoneticPr fontId="3" type="noConversion"/>
  </si>
  <si>
    <t>마석중학교</t>
  </si>
  <si>
    <t>와이비엠</t>
    <phoneticPr fontId="3" type="noConversion"/>
  </si>
  <si>
    <t>미금중학교</t>
  </si>
  <si>
    <t>체육과건강</t>
    <phoneticPr fontId="3" type="noConversion"/>
  </si>
  <si>
    <t>별가람중학교</t>
  </si>
  <si>
    <t>동아</t>
    <phoneticPr fontId="3" type="noConversion"/>
  </si>
  <si>
    <t>별내중학교</t>
  </si>
  <si>
    <t>리베르</t>
    <phoneticPr fontId="3" type="noConversion"/>
  </si>
  <si>
    <t>163+0</t>
    <phoneticPr fontId="3" type="noConversion"/>
  </si>
  <si>
    <t>김이헌(체육_서광석)</t>
    <phoneticPr fontId="3" type="noConversion"/>
  </si>
  <si>
    <t>송라중학교</t>
  </si>
  <si>
    <t>어람중학교</t>
  </si>
  <si>
    <t>(미선정)_중2</t>
    <phoneticPr fontId="3" type="noConversion"/>
  </si>
  <si>
    <t>김영대(체육, 동아)</t>
    <phoneticPr fontId="3" type="noConversion"/>
  </si>
  <si>
    <t>연세중학교</t>
  </si>
  <si>
    <t>이오미</t>
    <phoneticPr fontId="3" type="noConversion"/>
  </si>
  <si>
    <t>예봉중학교</t>
  </si>
  <si>
    <t>길벗</t>
    <phoneticPr fontId="3" type="noConversion"/>
  </si>
  <si>
    <t>앱과코딩(215)</t>
    <phoneticPr fontId="3" type="noConversion"/>
  </si>
  <si>
    <t>오남중학교</t>
  </si>
  <si>
    <t>145+145</t>
    <phoneticPr fontId="3" type="noConversion"/>
  </si>
  <si>
    <t>장내중학교</t>
  </si>
  <si>
    <t>주곡중학교</t>
  </si>
  <si>
    <t>(미선정)_중2</t>
    <phoneticPr fontId="3" type="noConversion"/>
  </si>
  <si>
    <t>천마중학교</t>
  </si>
  <si>
    <t>성안당</t>
    <phoneticPr fontId="3" type="noConversion"/>
  </si>
  <si>
    <t>김민수(중 체육_편검)</t>
    <phoneticPr fontId="3" type="noConversion"/>
  </si>
  <si>
    <t>퇴계원중학교</t>
  </si>
  <si>
    <t>판곡중학교</t>
  </si>
  <si>
    <t>호평중학교</t>
  </si>
  <si>
    <t>미선정</t>
    <phoneticPr fontId="3" type="noConversion"/>
  </si>
  <si>
    <t>채택</t>
    <phoneticPr fontId="3" type="noConversion"/>
  </si>
  <si>
    <t>분당구</t>
    <phoneticPr fontId="3" type="noConversion"/>
  </si>
  <si>
    <t>구미중학교</t>
  </si>
  <si>
    <t>미래엔</t>
    <phoneticPr fontId="27" type="noConversion"/>
  </si>
  <si>
    <t>낙원중학교</t>
  </si>
  <si>
    <t>이정석(체육,성안당)</t>
    <phoneticPr fontId="3" type="noConversion"/>
  </si>
  <si>
    <t>늘푸른중학교</t>
  </si>
  <si>
    <t>245+245</t>
    <phoneticPr fontId="3" type="noConversion"/>
  </si>
  <si>
    <t>이오북스</t>
    <phoneticPr fontId="27" type="noConversion"/>
  </si>
  <si>
    <t>엡과코딩(242)</t>
    <phoneticPr fontId="3" type="noConversion"/>
  </si>
  <si>
    <t>김동호(중 체육)</t>
    <phoneticPr fontId="3" type="noConversion"/>
  </si>
  <si>
    <t>건대</t>
    <phoneticPr fontId="3" type="noConversion"/>
  </si>
  <si>
    <t>보평중학교</t>
  </si>
  <si>
    <t>264+264</t>
    <phoneticPr fontId="3" type="noConversion"/>
  </si>
  <si>
    <t>오지훈(체육_김동호)</t>
    <phoneticPr fontId="3" type="noConversion"/>
  </si>
  <si>
    <t>김미순(진로)</t>
    <phoneticPr fontId="3" type="noConversion"/>
  </si>
  <si>
    <t>분당중학교</t>
  </si>
  <si>
    <t>미래엔</t>
    <phoneticPr fontId="27" type="noConversion"/>
  </si>
  <si>
    <t>분당구</t>
    <phoneticPr fontId="3" type="noConversion"/>
  </si>
  <si>
    <t>불곡중학교</t>
  </si>
  <si>
    <t>동아</t>
    <phoneticPr fontId="27" type="noConversion"/>
  </si>
  <si>
    <t>양승재(체육_김동호)</t>
    <phoneticPr fontId="3" type="noConversion"/>
  </si>
  <si>
    <t>삼평중학교</t>
  </si>
  <si>
    <t>박은경(체육,미래엔)</t>
    <phoneticPr fontId="3" type="noConversion"/>
  </si>
  <si>
    <t>샛별중학교</t>
  </si>
  <si>
    <t>서현중학교</t>
  </si>
  <si>
    <t>와이비엠</t>
    <phoneticPr fontId="27" type="noConversion"/>
  </si>
  <si>
    <t>황성희(체육_김동호)</t>
    <phoneticPr fontId="3" type="noConversion"/>
  </si>
  <si>
    <t>수내중학교</t>
  </si>
  <si>
    <t>400+400</t>
    <phoneticPr fontId="3" type="noConversion"/>
  </si>
  <si>
    <t>천재</t>
    <phoneticPr fontId="27" type="noConversion"/>
  </si>
  <si>
    <t>박준택(체육_김동호)</t>
    <phoneticPr fontId="3" type="noConversion"/>
  </si>
  <si>
    <t xml:space="preserve"> 윤정선(진로)</t>
    <phoneticPr fontId="3" type="noConversion"/>
  </si>
  <si>
    <t>조아라(미술,성안당)</t>
    <phoneticPr fontId="3" type="noConversion"/>
  </si>
  <si>
    <t>신백현중학교</t>
  </si>
  <si>
    <t>이규주(체육_김동호)</t>
    <phoneticPr fontId="3" type="noConversion"/>
  </si>
  <si>
    <t>민동수(중 체육_편검)</t>
    <phoneticPr fontId="3" type="noConversion"/>
  </si>
  <si>
    <t>운중중학교</t>
  </si>
  <si>
    <t>이매중학교</t>
  </si>
  <si>
    <t>331+331</t>
    <phoneticPr fontId="3" type="noConversion"/>
  </si>
  <si>
    <t>김한수(체육_김동호)</t>
    <phoneticPr fontId="3" type="noConversion"/>
  </si>
  <si>
    <t>이현채(진로)</t>
    <phoneticPr fontId="3" type="noConversion"/>
  </si>
  <si>
    <t>판교대장중학교</t>
  </si>
  <si>
    <t>이윤하(보건_한선화_A)</t>
    <phoneticPr fontId="3" type="noConversion"/>
  </si>
  <si>
    <t>판교중학교</t>
  </si>
  <si>
    <t>하탑중학교</t>
  </si>
  <si>
    <t>165+165</t>
    <phoneticPr fontId="3" type="noConversion"/>
  </si>
  <si>
    <t>권재중(미술,지학사)</t>
    <phoneticPr fontId="3" type="noConversion"/>
  </si>
  <si>
    <t>수정구</t>
    <phoneticPr fontId="3" type="noConversion"/>
  </si>
  <si>
    <t>성남문원중학교</t>
  </si>
  <si>
    <t>삼양</t>
    <phoneticPr fontId="27" type="noConversion"/>
  </si>
  <si>
    <t>성남여자중학교</t>
  </si>
  <si>
    <t>162+162</t>
    <phoneticPr fontId="3" type="noConversion"/>
  </si>
  <si>
    <t>수정구</t>
    <phoneticPr fontId="3" type="noConversion"/>
  </si>
  <si>
    <t>태평중학교</t>
  </si>
  <si>
    <t>중원구</t>
    <phoneticPr fontId="3" type="noConversion"/>
  </si>
  <si>
    <t>금광중학교</t>
  </si>
  <si>
    <t>중원구</t>
    <phoneticPr fontId="3" type="noConversion"/>
  </si>
  <si>
    <t>대원중학교</t>
  </si>
  <si>
    <t>도촌중학교</t>
  </si>
  <si>
    <t>153+153</t>
    <phoneticPr fontId="3" type="noConversion"/>
  </si>
  <si>
    <t>동광중학교</t>
  </si>
  <si>
    <t>아침나라</t>
    <phoneticPr fontId="3" type="noConversion"/>
  </si>
  <si>
    <t>성남동중학교</t>
  </si>
  <si>
    <t>숭신여자중학교</t>
  </si>
  <si>
    <t>이현숙(진로)</t>
    <phoneticPr fontId="3" type="noConversion"/>
  </si>
  <si>
    <t>영성중학교</t>
  </si>
  <si>
    <t>지학사</t>
    <phoneticPr fontId="27" type="noConversion"/>
  </si>
  <si>
    <t>비상</t>
    <phoneticPr fontId="27" type="noConversion"/>
  </si>
  <si>
    <t>미선정</t>
    <phoneticPr fontId="3" type="noConversion"/>
  </si>
  <si>
    <t>채택</t>
    <phoneticPr fontId="3" type="noConversion"/>
  </si>
  <si>
    <t>가평</t>
    <phoneticPr fontId="3" type="noConversion"/>
  </si>
  <si>
    <t>설악중학교</t>
  </si>
  <si>
    <t>조종중학교</t>
  </si>
  <si>
    <t>양평</t>
    <phoneticPr fontId="3" type="noConversion"/>
  </si>
  <si>
    <t>강하중학교</t>
  </si>
  <si>
    <t>15+15</t>
    <phoneticPr fontId="3" type="noConversion"/>
  </si>
  <si>
    <t>양평</t>
    <phoneticPr fontId="3" type="noConversion"/>
  </si>
  <si>
    <t>개군중학교</t>
  </si>
  <si>
    <t>국수중학교</t>
  </si>
  <si>
    <t>단월중학교</t>
  </si>
  <si>
    <t>양동중학교</t>
  </si>
  <si>
    <t>성안당</t>
    <phoneticPr fontId="3" type="noConversion"/>
  </si>
  <si>
    <t>양일중학교</t>
  </si>
  <si>
    <t>씨마스(2)</t>
    <phoneticPr fontId="3" type="noConversion"/>
  </si>
  <si>
    <t>용문중학교</t>
  </si>
  <si>
    <t>씨마스</t>
    <phoneticPr fontId="3" type="noConversion"/>
  </si>
  <si>
    <t>지평중학교</t>
  </si>
  <si>
    <t>여주시</t>
    <phoneticPr fontId="3" type="noConversion"/>
  </si>
  <si>
    <t>여주시</t>
    <phoneticPr fontId="3" type="noConversion"/>
  </si>
  <si>
    <t>세정중학교</t>
  </si>
  <si>
    <t>30+30</t>
    <phoneticPr fontId="3" type="noConversion"/>
  </si>
  <si>
    <t>여주제일중학교</t>
  </si>
  <si>
    <t>여주중학교</t>
  </si>
  <si>
    <t>창명여자중학교</t>
  </si>
  <si>
    <t>흥천중학교</t>
  </si>
  <si>
    <t>이천시</t>
    <phoneticPr fontId="3" type="noConversion"/>
  </si>
  <si>
    <t>대월중학교</t>
  </si>
  <si>
    <t>창비</t>
    <phoneticPr fontId="27" type="noConversion"/>
  </si>
  <si>
    <t>신나옥(미술,성안당)</t>
    <phoneticPr fontId="3" type="noConversion"/>
  </si>
  <si>
    <t>부발중학교</t>
  </si>
  <si>
    <t>타임</t>
    <phoneticPr fontId="27" type="noConversion"/>
  </si>
  <si>
    <t>씨마스</t>
    <phoneticPr fontId="27" type="noConversion"/>
  </si>
  <si>
    <t>설봉중학교</t>
  </si>
  <si>
    <t>이천경남중학교</t>
  </si>
  <si>
    <t>능률</t>
    <phoneticPr fontId="27" type="noConversion"/>
  </si>
  <si>
    <t>이천시</t>
    <phoneticPr fontId="3" type="noConversion"/>
  </si>
  <si>
    <t>이천사동중학교</t>
  </si>
  <si>
    <t>금성</t>
    <phoneticPr fontId="3" type="noConversion"/>
  </si>
  <si>
    <t>이천송정중학교</t>
  </si>
  <si>
    <t>이천양정여자중학교</t>
  </si>
  <si>
    <t>증포중학교</t>
  </si>
  <si>
    <t>이오북스</t>
    <phoneticPr fontId="27" type="noConversion"/>
  </si>
  <si>
    <t>효양중학교</t>
  </si>
  <si>
    <t>길벗</t>
    <phoneticPr fontId="27" type="noConversion"/>
  </si>
  <si>
    <t>광주</t>
    <phoneticPr fontId="3" type="noConversion"/>
  </si>
  <si>
    <t>경안중학교</t>
  </si>
  <si>
    <t>광일중학교</t>
  </si>
  <si>
    <t>광주</t>
    <phoneticPr fontId="3" type="noConversion"/>
  </si>
  <si>
    <t>광주광남중학교</t>
  </si>
  <si>
    <t>476+476</t>
    <phoneticPr fontId="3" type="noConversion"/>
  </si>
  <si>
    <t>매양중학교</t>
  </si>
  <si>
    <t>360+360</t>
    <phoneticPr fontId="3" type="noConversion"/>
  </si>
  <si>
    <t>임수기(정보,천재)</t>
    <phoneticPr fontId="3" type="noConversion"/>
  </si>
  <si>
    <t>초월중학교</t>
  </si>
  <si>
    <t>탄벌중학교</t>
  </si>
  <si>
    <t>미진사</t>
    <phoneticPr fontId="3" type="noConversion"/>
  </si>
  <si>
    <t>433+433</t>
    <phoneticPr fontId="3" type="noConversion"/>
  </si>
  <si>
    <t>김준환(체육_서광석)</t>
    <phoneticPr fontId="3" type="noConversion"/>
  </si>
  <si>
    <t>태전중학교</t>
    <phoneticPr fontId="3" type="noConversion"/>
  </si>
  <si>
    <t>김민정(미매,천재)</t>
    <phoneticPr fontId="3" type="noConversion"/>
  </si>
  <si>
    <t>하남</t>
    <phoneticPr fontId="3" type="noConversion"/>
  </si>
  <si>
    <t>감일중학교</t>
    <phoneticPr fontId="3" type="noConversion"/>
  </si>
  <si>
    <t>동부중학교</t>
  </si>
  <si>
    <t>미사강변중학교</t>
  </si>
  <si>
    <t>씨마스(3)</t>
    <phoneticPr fontId="3" type="noConversion"/>
  </si>
  <si>
    <t>한충희(중 체육_편검)</t>
    <phoneticPr fontId="3" type="noConversion"/>
  </si>
  <si>
    <t>미사중학교</t>
  </si>
  <si>
    <r>
      <t>486+0</t>
    </r>
    <r>
      <rPr>
        <sz val="8"/>
        <color theme="1"/>
        <rFont val="맑은 고딕"/>
        <family val="3"/>
        <charset val="129"/>
        <scheme val="minor"/>
      </rPr>
      <t>(미주문)</t>
    </r>
    <phoneticPr fontId="3" type="noConversion"/>
  </si>
  <si>
    <t>지학사</t>
    <phoneticPr fontId="3" type="noConversion"/>
  </si>
  <si>
    <t>위례중학교</t>
  </si>
  <si>
    <r>
      <t>494+0</t>
    </r>
    <r>
      <rPr>
        <sz val="8"/>
        <color theme="1"/>
        <rFont val="맑은 고딕"/>
        <family val="3"/>
        <charset val="129"/>
        <scheme val="minor"/>
      </rPr>
      <t>(미주문)</t>
    </r>
    <phoneticPr fontId="3" type="noConversion"/>
  </si>
  <si>
    <t>구형근(체육_서광석)</t>
    <phoneticPr fontId="3" type="noConversion"/>
  </si>
  <si>
    <t>은가람중학교</t>
  </si>
  <si>
    <t>하남중학교</t>
  </si>
  <si>
    <t>경기권 종합</t>
    <phoneticPr fontId="3" type="noConversion"/>
  </si>
  <si>
    <t>미술</t>
    <phoneticPr fontId="3" type="noConversion"/>
  </si>
  <si>
    <t>체육</t>
    <phoneticPr fontId="3" type="noConversion"/>
  </si>
  <si>
    <t>보건</t>
    <phoneticPr fontId="3" type="noConversion"/>
  </si>
  <si>
    <t xml:space="preserve">전체학교 </t>
    <phoneticPr fontId="3" type="noConversion"/>
  </si>
  <si>
    <t>미선정학교</t>
    <phoneticPr fontId="3" type="noConversion"/>
  </si>
  <si>
    <t>보고일</t>
    <phoneticPr fontId="3" type="noConversion"/>
  </si>
  <si>
    <t>담당자</t>
    <phoneticPr fontId="3" type="noConversion"/>
  </si>
  <si>
    <t xml:space="preserve">  임준호 차장</t>
    <phoneticPr fontId="3" type="noConversion"/>
  </si>
  <si>
    <t>영업 기간</t>
    <phoneticPr fontId="3" type="noConversion"/>
  </si>
  <si>
    <t>방문지역</t>
    <phoneticPr fontId="3" type="noConversion"/>
  </si>
  <si>
    <t>수도권</t>
    <phoneticPr fontId="3" type="noConversion"/>
  </si>
  <si>
    <t>학교수</t>
    <phoneticPr fontId="3" type="noConversion"/>
  </si>
  <si>
    <t>중점 사항</t>
    <phoneticPr fontId="3" type="noConversion"/>
  </si>
  <si>
    <t>중/고등학교방문 진행현황</t>
    <phoneticPr fontId="3" type="noConversion"/>
  </si>
  <si>
    <t>구분</t>
    <phoneticPr fontId="3" type="noConversion"/>
  </si>
  <si>
    <t>지역(학교수)</t>
    <phoneticPr fontId="3" type="noConversion"/>
  </si>
  <si>
    <t>총학교수</t>
    <phoneticPr fontId="3" type="noConversion"/>
  </si>
  <si>
    <t>방문학교 
(재방문 제외)</t>
    <phoneticPr fontId="3" type="noConversion"/>
  </si>
  <si>
    <t>미방문 학교</t>
    <phoneticPr fontId="3" type="noConversion"/>
  </si>
  <si>
    <t>방문율(%)</t>
    <phoneticPr fontId="3" type="noConversion"/>
  </si>
  <si>
    <t>신규</t>
    <phoneticPr fontId="3" type="noConversion"/>
  </si>
  <si>
    <t>재방문</t>
    <phoneticPr fontId="3" type="noConversion"/>
  </si>
  <si>
    <t>서울</t>
    <phoneticPr fontId="3" type="noConversion"/>
  </si>
  <si>
    <t>동대문(15) 중랑(14) 
광진(12) 성동(11)</t>
    <phoneticPr fontId="3" type="noConversion"/>
  </si>
  <si>
    <t xml:space="preserve"> </t>
    <phoneticPr fontId="3" type="noConversion"/>
  </si>
  <si>
    <t>고등학교</t>
    <phoneticPr fontId="3" type="noConversion"/>
  </si>
  <si>
    <t>성북(18) 종로(9) 중구(8)</t>
    <phoneticPr fontId="3" type="noConversion"/>
  </si>
  <si>
    <t>강남(24) 서초(15)</t>
    <phoneticPr fontId="3" type="noConversion"/>
  </si>
  <si>
    <t>강동(18) 송파(28)</t>
    <phoneticPr fontId="3" type="noConversion"/>
  </si>
  <si>
    <t>동작(15) 관악(16)</t>
    <phoneticPr fontId="3" type="noConversion"/>
  </si>
  <si>
    <t>노원(26) 도봉(13) 강북(13)</t>
    <phoneticPr fontId="3" type="noConversion"/>
  </si>
  <si>
    <t>경기</t>
    <phoneticPr fontId="3" type="noConversion"/>
  </si>
  <si>
    <t>구리(9) 남양주(32)</t>
    <phoneticPr fontId="3" type="noConversion"/>
  </si>
  <si>
    <t>양평(12) 가평(6)</t>
    <phoneticPr fontId="3" type="noConversion"/>
  </si>
  <si>
    <t>여주(13) 이천(15)</t>
    <phoneticPr fontId="3" type="noConversion"/>
  </si>
  <si>
    <t>하남(12) 광주(11)</t>
    <phoneticPr fontId="3" type="noConversion"/>
  </si>
  <si>
    <t>성남(45)</t>
    <phoneticPr fontId="3" type="noConversion"/>
  </si>
  <si>
    <t>합계</t>
    <phoneticPr fontId="3" type="noConversion"/>
  </si>
  <si>
    <t>업무내용</t>
    <phoneticPr fontId="3" type="noConversion"/>
  </si>
  <si>
    <t>지역</t>
    <phoneticPr fontId="27" type="noConversion"/>
  </si>
  <si>
    <t>학교명</t>
    <phoneticPr fontId="27" type="noConversion"/>
  </si>
  <si>
    <t>학년</t>
    <phoneticPr fontId="27" type="noConversion"/>
  </si>
  <si>
    <t>학생수</t>
    <phoneticPr fontId="27" type="noConversion"/>
  </si>
  <si>
    <t>정보</t>
    <phoneticPr fontId="27" type="noConversion"/>
  </si>
  <si>
    <t>진로</t>
    <phoneticPr fontId="27" type="noConversion"/>
  </si>
  <si>
    <t>미술</t>
    <phoneticPr fontId="27" type="noConversion"/>
  </si>
  <si>
    <t>체육</t>
    <phoneticPr fontId="27" type="noConversion"/>
  </si>
  <si>
    <t>기타사항</t>
    <phoneticPr fontId="3" type="noConversion"/>
  </si>
  <si>
    <t>1학년</t>
    <phoneticPr fontId="27" type="noConversion"/>
  </si>
  <si>
    <t>교사명</t>
    <phoneticPr fontId="3" type="noConversion"/>
  </si>
  <si>
    <t>2학년</t>
    <phoneticPr fontId="27" type="noConversion"/>
  </si>
  <si>
    <t>전달 자료1</t>
    <phoneticPr fontId="3" type="noConversion"/>
  </si>
  <si>
    <t>3학년</t>
    <phoneticPr fontId="27" type="noConversion"/>
  </si>
  <si>
    <t>전달 자료2</t>
    <phoneticPr fontId="3" type="noConversion"/>
  </si>
  <si>
    <t>총학생수</t>
    <phoneticPr fontId="3" type="noConversion"/>
  </si>
  <si>
    <t>전달 자료3</t>
    <phoneticPr fontId="3" type="noConversion"/>
  </si>
  <si>
    <t>2022과정</t>
    <phoneticPr fontId="3" type="noConversion"/>
  </si>
  <si>
    <t>전달 자료4</t>
    <phoneticPr fontId="3" type="noConversion"/>
  </si>
  <si>
    <t>방문내용</t>
    <phoneticPr fontId="3" type="noConversion"/>
  </si>
  <si>
    <t>남,여/공립</t>
    <phoneticPr fontId="3" type="noConversion"/>
  </si>
  <si>
    <t>면목중</t>
    <phoneticPr fontId="3" type="noConversion"/>
  </si>
  <si>
    <t>수업자료 프린트물</t>
    <phoneticPr fontId="3" type="noConversion"/>
  </si>
  <si>
    <t>별내중</t>
    <phoneticPr fontId="3" type="noConversion"/>
  </si>
  <si>
    <t>경안중</t>
    <phoneticPr fontId="3" type="noConversion"/>
  </si>
  <si>
    <t>[출고현황]</t>
    <phoneticPr fontId="13" type="noConversion"/>
  </si>
  <si>
    <t>아두이노키트</t>
    <phoneticPr fontId="3" type="noConversion"/>
  </si>
  <si>
    <t>3월</t>
    <phoneticPr fontId="3" type="noConversion"/>
  </si>
  <si>
    <t>16세트</t>
    <phoneticPr fontId="3" type="noConversion"/>
  </si>
  <si>
    <t>엔트리와 마이크로비트로 코딩한다</t>
    <phoneticPr fontId="3" type="noConversion"/>
  </si>
  <si>
    <t>5세트</t>
    <phoneticPr fontId="3" type="noConversion"/>
  </si>
  <si>
    <t>이천송정중</t>
    <phoneticPr fontId="3" type="noConversion"/>
  </si>
  <si>
    <t>곤지암고</t>
    <phoneticPr fontId="3" type="noConversion"/>
  </si>
  <si>
    <t>35세트</t>
    <phoneticPr fontId="3" type="noConversion"/>
  </si>
  <si>
    <t>15세트</t>
    <phoneticPr fontId="3" type="noConversion"/>
  </si>
  <si>
    <t>알티노라이트</t>
    <phoneticPr fontId="3" type="noConversion"/>
  </si>
  <si>
    <t>10개</t>
    <phoneticPr fontId="3" type="noConversion"/>
  </si>
  <si>
    <t>4월</t>
    <phoneticPr fontId="3" type="noConversion"/>
  </si>
  <si>
    <t>4월</t>
    <phoneticPr fontId="3" type="noConversion"/>
  </si>
  <si>
    <t>분당중앙고</t>
    <phoneticPr fontId="3" type="noConversion"/>
  </si>
  <si>
    <t>파이선키트</t>
    <phoneticPr fontId="3" type="noConversion"/>
  </si>
  <si>
    <t>1개</t>
    <phoneticPr fontId="3" type="noConversion"/>
  </si>
  <si>
    <t>4월</t>
    <phoneticPr fontId="3" type="noConversion"/>
  </si>
  <si>
    <t>무학중</t>
    <phoneticPr fontId="3" type="noConversion"/>
  </si>
  <si>
    <t>5개</t>
    <phoneticPr fontId="3" type="noConversion"/>
  </si>
  <si>
    <t>10세트</t>
    <phoneticPr fontId="3" type="noConversion"/>
  </si>
  <si>
    <t>염경중</t>
    <phoneticPr fontId="3" type="noConversion"/>
  </si>
  <si>
    <t>마퀸카 세트
고등 피지컬 컴퓨팅 실습키트</t>
    <phoneticPr fontId="3" type="noConversion"/>
  </si>
  <si>
    <t>20세트
15세트</t>
    <phoneticPr fontId="3" type="noConversion"/>
  </si>
  <si>
    <t>고등 피지컬 컴퓨팅 실습키트</t>
    <phoneticPr fontId="3" type="noConversion"/>
  </si>
  <si>
    <t>기간중 방문학교</t>
    <phoneticPr fontId="3" type="noConversion"/>
  </si>
  <si>
    <t>지역</t>
    <phoneticPr fontId="27" type="noConversion"/>
  </si>
  <si>
    <t>학교명</t>
    <phoneticPr fontId="27" type="noConversion"/>
  </si>
  <si>
    <t>진로</t>
    <phoneticPr fontId="27" type="noConversion"/>
  </si>
  <si>
    <t>미술</t>
    <phoneticPr fontId="27" type="noConversion"/>
  </si>
  <si>
    <t>정보</t>
    <phoneticPr fontId="3" type="noConversion"/>
  </si>
  <si>
    <t>진로</t>
    <phoneticPr fontId="3" type="noConversion"/>
  </si>
  <si>
    <t>2학년</t>
    <phoneticPr fontId="27" type="noConversion"/>
  </si>
  <si>
    <t>전달 자료1</t>
    <phoneticPr fontId="3" type="noConversion"/>
  </si>
  <si>
    <t>3학년</t>
    <phoneticPr fontId="27" type="noConversion"/>
  </si>
  <si>
    <t>전달 자료2</t>
    <phoneticPr fontId="3" type="noConversion"/>
  </si>
  <si>
    <t>총학생수</t>
    <phoneticPr fontId="3" type="noConversion"/>
  </si>
  <si>
    <t>전달 자료3</t>
    <phoneticPr fontId="3" type="noConversion"/>
  </si>
  <si>
    <t>방문내용</t>
    <phoneticPr fontId="3" type="noConversion"/>
  </si>
  <si>
    <t>방문내용</t>
    <phoneticPr fontId="3" type="noConversion"/>
  </si>
  <si>
    <t>남/공립</t>
    <phoneticPr fontId="3" type="noConversion"/>
  </si>
  <si>
    <t>여/공립</t>
    <phoneticPr fontId="3" type="noConversion"/>
  </si>
  <si>
    <t xml:space="preserve"> -담당지역 선정/미선정 학교 1차 방문 완료</t>
    <phoneticPr fontId="3" type="noConversion"/>
  </si>
  <si>
    <t xml:space="preserve">   *서울권: (노원,도봉,강북), (종로,중구,성북), (중랑, 성동, 광진, 동대문), (동작, 관악),(강동,송파), (강남,서초)</t>
    <phoneticPr fontId="3" type="noConversion"/>
  </si>
  <si>
    <t xml:space="preserve">   *경기권: (구리,남양주), (광주,하남), (성남),(여주, 이천, 양평)</t>
    <phoneticPr fontId="3" type="noConversion"/>
  </si>
  <si>
    <t xml:space="preserve">  2차방문 이후 집중관리대상으로 A등급 재편성하여 집중관리 영업 진행</t>
    <phoneticPr fontId="3" type="noConversion"/>
  </si>
  <si>
    <t xml:space="preserve"> -미선정학교 방문결과 지역별 학교현황 리스트 문서작업, 이후 2차방문에 참고자료로 활용</t>
    <phoneticPr fontId="3" type="noConversion"/>
  </si>
  <si>
    <t xml:space="preserve"> -김용경팀장 담당지역 미선정 리스트 확인 및 영업진행</t>
    <phoneticPr fontId="3" type="noConversion"/>
  </si>
  <si>
    <t>월</t>
    <phoneticPr fontId="3" type="noConversion"/>
  </si>
  <si>
    <t>6월 10일</t>
  </si>
  <si>
    <t>6월 11일</t>
  </si>
  <si>
    <t>6월 12일</t>
  </si>
  <si>
    <t>6월 13일</t>
  </si>
  <si>
    <t>6월 17일</t>
  </si>
  <si>
    <t>6월 18일</t>
  </si>
  <si>
    <t>6월 19일</t>
  </si>
  <si>
    <t>6월 20일</t>
  </si>
  <si>
    <t>6월 24일</t>
  </si>
  <si>
    <t>6월 25일</t>
  </si>
  <si>
    <t>6월 26일</t>
  </si>
  <si>
    <t>월</t>
    <phoneticPr fontId="3" type="noConversion"/>
  </si>
  <si>
    <t xml:space="preserve">   </t>
    <phoneticPr fontId="3" type="noConversion"/>
  </si>
  <si>
    <t>주곡중, 퇴계원중, 광릉중, 별가람중, 어람중</t>
    <phoneticPr fontId="3" type="noConversion"/>
  </si>
  <si>
    <t>연수안내 브로셔</t>
    <phoneticPr fontId="3" type="noConversion"/>
  </si>
  <si>
    <t xml:space="preserve">김용경팀장지역_중학교 미선정 현황 </t>
    <phoneticPr fontId="3" type="noConversion"/>
  </si>
  <si>
    <t>연번</t>
    <phoneticPr fontId="3" type="noConversion"/>
  </si>
  <si>
    <t>총판명</t>
    <phoneticPr fontId="3" type="noConversion"/>
  </si>
  <si>
    <t>지역</t>
    <phoneticPr fontId="3" type="noConversion"/>
  </si>
  <si>
    <t>학교명</t>
    <phoneticPr fontId="3" type="noConversion"/>
  </si>
  <si>
    <t>설립구분</t>
    <phoneticPr fontId="3" type="noConversion"/>
  </si>
  <si>
    <t>학생수</t>
    <phoneticPr fontId="3" type="noConversion"/>
  </si>
  <si>
    <t>미술</t>
    <phoneticPr fontId="3" type="noConversion"/>
  </si>
  <si>
    <t>체육</t>
    <phoneticPr fontId="3" type="noConversion"/>
  </si>
  <si>
    <t>진로</t>
    <phoneticPr fontId="3" type="noConversion"/>
  </si>
  <si>
    <t>보건</t>
    <phoneticPr fontId="3" type="noConversion"/>
  </si>
  <si>
    <t>미술1</t>
    <phoneticPr fontId="3" type="noConversion"/>
  </si>
  <si>
    <t>체육1</t>
    <phoneticPr fontId="3" type="noConversion"/>
  </si>
  <si>
    <t>정보</t>
    <phoneticPr fontId="3" type="noConversion"/>
  </si>
  <si>
    <t>진로와 직업</t>
    <phoneticPr fontId="3" type="noConversion"/>
  </si>
  <si>
    <t>서대문)신흥도서</t>
    <phoneticPr fontId="3" type="noConversion"/>
  </si>
  <si>
    <t>서대문구</t>
    <phoneticPr fontId="3" type="noConversion"/>
  </si>
  <si>
    <t>가재울중학교</t>
  </si>
  <si>
    <t>중2</t>
    <phoneticPr fontId="3" type="noConversion"/>
  </si>
  <si>
    <t>중1</t>
    <phoneticPr fontId="3" type="noConversion"/>
  </si>
  <si>
    <t>중1</t>
    <phoneticPr fontId="3" type="noConversion"/>
  </si>
  <si>
    <t>천재</t>
    <phoneticPr fontId="3" type="noConversion"/>
  </si>
  <si>
    <t>교학사</t>
    <phoneticPr fontId="3" type="noConversion"/>
  </si>
  <si>
    <t>(미선정)</t>
    <phoneticPr fontId="13" type="noConversion"/>
  </si>
  <si>
    <t>삼양</t>
    <phoneticPr fontId="3" type="noConversion"/>
  </si>
  <si>
    <t>서대문)신흥도서</t>
    <phoneticPr fontId="3" type="noConversion"/>
  </si>
  <si>
    <t>서대문구</t>
    <phoneticPr fontId="3" type="noConversion"/>
  </si>
  <si>
    <t>중앙여자중학교</t>
  </si>
  <si>
    <t>중3</t>
    <phoneticPr fontId="3" type="noConversion"/>
  </si>
  <si>
    <t>중2,중3</t>
    <phoneticPr fontId="3" type="noConversion"/>
  </si>
  <si>
    <t>X</t>
    <phoneticPr fontId="3" type="noConversion"/>
  </si>
  <si>
    <t xml:space="preserve">금성 </t>
    <phoneticPr fontId="3" type="noConversion"/>
  </si>
  <si>
    <t>금성</t>
    <phoneticPr fontId="3" type="noConversion"/>
  </si>
  <si>
    <t>은평구</t>
    <phoneticPr fontId="3" type="noConversion"/>
  </si>
  <si>
    <t>구산중학교</t>
  </si>
  <si>
    <t>체육(김보라_15)</t>
    <phoneticPr fontId="3" type="noConversion"/>
  </si>
  <si>
    <t>씨마스(중)</t>
    <phoneticPr fontId="3" type="noConversion"/>
  </si>
  <si>
    <t>동아</t>
    <phoneticPr fontId="3" type="noConversion"/>
  </si>
  <si>
    <t>미래엔</t>
    <phoneticPr fontId="3" type="noConversion"/>
  </si>
  <si>
    <t>이오북스</t>
    <phoneticPr fontId="3" type="noConversion"/>
  </si>
  <si>
    <t>(미선정)</t>
    <phoneticPr fontId="3" type="noConversion"/>
  </si>
  <si>
    <t>대성중학교</t>
  </si>
  <si>
    <t>중3</t>
    <phoneticPr fontId="3" type="noConversion"/>
  </si>
  <si>
    <t>상신중학교</t>
  </si>
  <si>
    <t>씨마스(중1)</t>
    <phoneticPr fontId="3" type="noConversion"/>
  </si>
  <si>
    <t>지학사</t>
    <phoneticPr fontId="3" type="noConversion"/>
  </si>
  <si>
    <t>선정중학교</t>
  </si>
  <si>
    <t>X</t>
    <phoneticPr fontId="3" type="noConversion"/>
  </si>
  <si>
    <t>(미선정)</t>
    <phoneticPr fontId="3" type="noConversion"/>
  </si>
  <si>
    <t>연신중학교</t>
  </si>
  <si>
    <t>비상</t>
    <phoneticPr fontId="3" type="noConversion"/>
  </si>
  <si>
    <t>이오미디어</t>
    <phoneticPr fontId="3" type="noConversion"/>
  </si>
  <si>
    <t>영락중학교</t>
  </si>
  <si>
    <t>중3</t>
  </si>
  <si>
    <t>242+0</t>
    <phoneticPr fontId="3" type="noConversion"/>
  </si>
  <si>
    <t>길벗</t>
    <phoneticPr fontId="3" type="noConversion"/>
  </si>
  <si>
    <t>X</t>
    <phoneticPr fontId="3" type="noConversion"/>
  </si>
  <si>
    <t>마포)중부사</t>
    <phoneticPr fontId="3" type="noConversion"/>
  </si>
  <si>
    <t>마포구</t>
    <phoneticPr fontId="3" type="noConversion"/>
  </si>
  <si>
    <t>경성중학교</t>
  </si>
  <si>
    <t>광성중학교</t>
  </si>
  <si>
    <t>마포구</t>
    <phoneticPr fontId="3" type="noConversion"/>
  </si>
  <si>
    <t>동도중학교</t>
  </si>
  <si>
    <t>창비</t>
    <phoneticPr fontId="3" type="noConversion"/>
  </si>
  <si>
    <t>삼양</t>
    <phoneticPr fontId="3" type="noConversion"/>
  </si>
  <si>
    <t>서울여자중학교</t>
  </si>
  <si>
    <t>중3</t>
    <phoneticPr fontId="3" type="noConversion"/>
  </si>
  <si>
    <t>(미선정)</t>
    <phoneticPr fontId="13" type="noConversion"/>
  </si>
  <si>
    <t>미래엔</t>
    <phoneticPr fontId="3" type="noConversion"/>
  </si>
  <si>
    <t>성사중학교</t>
  </si>
  <si>
    <t>다락원</t>
    <phoneticPr fontId="3" type="noConversion"/>
  </si>
  <si>
    <t>마포)중부사</t>
    <phoneticPr fontId="3" type="noConversion"/>
  </si>
  <si>
    <t>성산중학교</t>
  </si>
  <si>
    <t>중2</t>
    <phoneticPr fontId="3" type="noConversion"/>
  </si>
  <si>
    <t>천재</t>
    <phoneticPr fontId="3" type="noConversion"/>
  </si>
  <si>
    <t>신수중학교</t>
  </si>
  <si>
    <t>와이비엠</t>
    <phoneticPr fontId="3" type="noConversion"/>
  </si>
  <si>
    <t>중암중학교</t>
  </si>
  <si>
    <t>홍익대사범대학부속여자중</t>
    <phoneticPr fontId="3" type="noConversion"/>
  </si>
  <si>
    <t>미술(김용순_15)</t>
    <phoneticPr fontId="3" type="noConversion"/>
  </si>
  <si>
    <t>비상</t>
    <phoneticPr fontId="3" type="noConversion"/>
  </si>
  <si>
    <t>고양)아현교육</t>
    <phoneticPr fontId="3" type="noConversion"/>
  </si>
  <si>
    <t>덕양</t>
    <phoneticPr fontId="3" type="noConversion"/>
  </si>
  <si>
    <t>가람중학교</t>
  </si>
  <si>
    <t>미진사</t>
    <phoneticPr fontId="3" type="noConversion"/>
  </si>
  <si>
    <t>미파악(중2)</t>
    <phoneticPr fontId="3" type="noConversion"/>
  </si>
  <si>
    <t>삼양(중2)</t>
    <phoneticPr fontId="3" type="noConversion"/>
  </si>
  <si>
    <t>고양)아현교육</t>
    <phoneticPr fontId="3" type="noConversion"/>
  </si>
  <si>
    <t>고양중학교</t>
  </si>
  <si>
    <t>한빛(중1)</t>
    <phoneticPr fontId="3" type="noConversion"/>
  </si>
  <si>
    <t>채움</t>
    <phoneticPr fontId="3" type="noConversion"/>
  </si>
  <si>
    <t>비상(비상)</t>
    <phoneticPr fontId="3" type="noConversion"/>
  </si>
  <si>
    <t>능곡중학교</t>
  </si>
  <si>
    <t>천재(중2)</t>
    <phoneticPr fontId="3" type="noConversion"/>
  </si>
  <si>
    <t>삼양(중1)</t>
    <phoneticPr fontId="3" type="noConversion"/>
  </si>
  <si>
    <t>(미선정)</t>
    <phoneticPr fontId="3" type="noConversion"/>
  </si>
  <si>
    <t>천재2</t>
    <phoneticPr fontId="3" type="noConversion"/>
  </si>
  <si>
    <t>덕양</t>
    <phoneticPr fontId="3" type="noConversion"/>
  </si>
  <si>
    <t>목암중학교</t>
  </si>
  <si>
    <t>동아</t>
    <phoneticPr fontId="3" type="noConversion"/>
  </si>
  <si>
    <t>금성(중1)</t>
    <phoneticPr fontId="3" type="noConversion"/>
  </si>
  <si>
    <t>삼양(X)</t>
    <phoneticPr fontId="3" type="noConversion"/>
  </si>
  <si>
    <t>해냄</t>
    <phoneticPr fontId="3" type="noConversion"/>
  </si>
  <si>
    <t>신원중학교</t>
  </si>
  <si>
    <t>비상(중1)</t>
    <phoneticPr fontId="3" type="noConversion"/>
  </si>
  <si>
    <t>미래엔(X)</t>
    <phoneticPr fontId="3" type="noConversion"/>
  </si>
  <si>
    <t>미래엔</t>
    <phoneticPr fontId="13" type="noConversion"/>
  </si>
  <si>
    <t>비상</t>
    <phoneticPr fontId="13" type="noConversion"/>
  </si>
  <si>
    <t>삼양</t>
    <phoneticPr fontId="13" type="noConversion"/>
  </si>
  <si>
    <t>지축중학교</t>
  </si>
  <si>
    <t>삼양(중2)</t>
    <phoneticPr fontId="3" type="noConversion"/>
  </si>
  <si>
    <t>리베르</t>
    <phoneticPr fontId="3" type="noConversion"/>
  </si>
  <si>
    <t>행신중학교</t>
  </si>
  <si>
    <t>미래엔(중1)</t>
    <phoneticPr fontId="3" type="noConversion"/>
  </si>
  <si>
    <t>147+147</t>
    <phoneticPr fontId="3" type="noConversion"/>
  </si>
  <si>
    <t>성림출판</t>
    <phoneticPr fontId="3" type="noConversion"/>
  </si>
  <si>
    <t>향동중학교</t>
  </si>
  <si>
    <t>금성</t>
    <phoneticPr fontId="3" type="noConversion"/>
  </si>
  <si>
    <t>일산동구</t>
    <phoneticPr fontId="3" type="noConversion"/>
  </si>
  <si>
    <t>백마중학교</t>
  </si>
  <si>
    <t>천재(중1)</t>
    <phoneticPr fontId="3" type="noConversion"/>
  </si>
  <si>
    <t>삼양(X)</t>
    <phoneticPr fontId="3" type="noConversion"/>
  </si>
  <si>
    <t>일산양일중학교</t>
  </si>
  <si>
    <t>금성(중2)</t>
    <phoneticPr fontId="3" type="noConversion"/>
  </si>
  <si>
    <t>창비</t>
    <phoneticPr fontId="3" type="noConversion"/>
  </si>
  <si>
    <t>일산서구</t>
    <phoneticPr fontId="3" type="noConversion"/>
  </si>
  <si>
    <t>대화중학교</t>
  </si>
  <si>
    <t>YBM(중1)</t>
    <phoneticPr fontId="3" type="noConversion"/>
  </si>
  <si>
    <t>성안당</t>
    <phoneticPr fontId="3" type="noConversion"/>
  </si>
  <si>
    <t>일산중학교</t>
  </si>
  <si>
    <t>YBM</t>
    <phoneticPr fontId="3" type="noConversion"/>
  </si>
  <si>
    <t>YBM(중1,2)</t>
    <phoneticPr fontId="3" type="noConversion"/>
  </si>
  <si>
    <t>삼양(중3)</t>
    <phoneticPr fontId="3" type="noConversion"/>
  </si>
  <si>
    <t>채윰교육</t>
    <phoneticPr fontId="3" type="noConversion"/>
  </si>
  <si>
    <t>교문사</t>
    <phoneticPr fontId="3" type="noConversion"/>
  </si>
  <si>
    <t>장성중학교</t>
  </si>
  <si>
    <t>천재(중3)</t>
    <phoneticPr fontId="3" type="noConversion"/>
  </si>
  <si>
    <t>성안당</t>
    <phoneticPr fontId="13" type="noConversion"/>
  </si>
  <si>
    <t>일산서구</t>
    <phoneticPr fontId="3" type="noConversion"/>
  </si>
  <si>
    <t>한수중학교</t>
  </si>
  <si>
    <t>천재(중1)</t>
    <phoneticPr fontId="3" type="noConversion"/>
  </si>
  <si>
    <t>금성(X)</t>
    <phoneticPr fontId="3" type="noConversion"/>
  </si>
  <si>
    <t>삼양</t>
    <phoneticPr fontId="13" type="noConversion"/>
  </si>
  <si>
    <t>파주시</t>
    <phoneticPr fontId="3" type="noConversion"/>
  </si>
  <si>
    <t>교하중학교</t>
  </si>
  <si>
    <t>교학사</t>
    <phoneticPr fontId="3" type="noConversion"/>
  </si>
  <si>
    <t>중1</t>
    <phoneticPr fontId="3" type="noConversion"/>
  </si>
  <si>
    <t>동아</t>
    <phoneticPr fontId="13" type="noConversion"/>
  </si>
  <si>
    <t>창체</t>
    <phoneticPr fontId="3" type="noConversion"/>
  </si>
  <si>
    <t>두일중학교</t>
  </si>
  <si>
    <t>씨마스(중2)</t>
    <phoneticPr fontId="3" type="noConversion"/>
  </si>
  <si>
    <t>삼양(X, 창체)</t>
    <phoneticPr fontId="3" type="noConversion"/>
  </si>
  <si>
    <t>성안당</t>
    <phoneticPr fontId="3" type="noConversion"/>
  </si>
  <si>
    <t>씨마스2</t>
    <phoneticPr fontId="3" type="noConversion"/>
  </si>
  <si>
    <t>문산동중학교</t>
  </si>
  <si>
    <t>성안당(중2)</t>
    <phoneticPr fontId="3" type="noConversion"/>
  </si>
  <si>
    <t>파주시</t>
    <phoneticPr fontId="3" type="noConversion"/>
  </si>
  <si>
    <t>문산수억중학교</t>
  </si>
  <si>
    <t>미진사</t>
    <phoneticPr fontId="3" type="noConversion"/>
  </si>
  <si>
    <t>미래엔(중3)</t>
    <phoneticPr fontId="3" type="noConversion"/>
  </si>
  <si>
    <t>삼양(중1)</t>
    <phoneticPr fontId="3" type="noConversion"/>
  </si>
  <si>
    <t>천재(중3)</t>
    <phoneticPr fontId="3" type="noConversion"/>
  </si>
  <si>
    <t>학지사</t>
    <phoneticPr fontId="13" type="noConversion"/>
  </si>
  <si>
    <t>문산중학교</t>
  </si>
  <si>
    <t>YBM</t>
    <phoneticPr fontId="3" type="noConversion"/>
  </si>
  <si>
    <t>능률(X)</t>
    <phoneticPr fontId="3" type="noConversion"/>
  </si>
  <si>
    <t>해냄</t>
    <phoneticPr fontId="13" type="noConversion"/>
  </si>
  <si>
    <t>와이비엠</t>
    <phoneticPr fontId="13" type="noConversion"/>
  </si>
  <si>
    <t>어유중학교</t>
  </si>
  <si>
    <t>미술(씨마스)</t>
    <phoneticPr fontId="3" type="noConversion"/>
  </si>
  <si>
    <t>학평(중2)</t>
    <phoneticPr fontId="3" type="noConversion"/>
  </si>
  <si>
    <t>의정부)다독도서</t>
    <phoneticPr fontId="3" type="noConversion"/>
  </si>
  <si>
    <t>의정부</t>
    <phoneticPr fontId="3" type="noConversion"/>
  </si>
  <si>
    <t>금오중학교</t>
  </si>
  <si>
    <t>정보(중1)</t>
    <phoneticPr fontId="3" type="noConversion"/>
  </si>
  <si>
    <t>민락중학교</t>
  </si>
  <si>
    <t>발곡중학교</t>
  </si>
  <si>
    <t>부용중학교</t>
  </si>
  <si>
    <t>길벗</t>
    <phoneticPr fontId="3" type="noConversion"/>
  </si>
  <si>
    <t>솔뫼중학교</t>
  </si>
  <si>
    <t>성림</t>
    <phoneticPr fontId="3" type="noConversion"/>
  </si>
  <si>
    <t>의정부)다독도서</t>
    <phoneticPr fontId="3" type="noConversion"/>
  </si>
  <si>
    <t>의정부</t>
    <phoneticPr fontId="3" type="noConversion"/>
  </si>
  <si>
    <t>송양중학교</t>
  </si>
  <si>
    <t>신곡중학교</t>
  </si>
  <si>
    <t>의정부여자중학교</t>
  </si>
  <si>
    <t>중1,3</t>
    <phoneticPr fontId="3" type="noConversion"/>
  </si>
  <si>
    <t>와이비엠</t>
    <phoneticPr fontId="3" type="noConversion"/>
  </si>
  <si>
    <t>의정부중학교</t>
  </si>
  <si>
    <t>중1,2</t>
    <phoneticPr fontId="3" type="noConversion"/>
  </si>
  <si>
    <t>천보중학교</t>
  </si>
  <si>
    <t>284+284</t>
    <phoneticPr fontId="3" type="noConversion"/>
  </si>
  <si>
    <t>호원중학교</t>
  </si>
  <si>
    <t>307+307</t>
    <phoneticPr fontId="3" type="noConversion"/>
  </si>
  <si>
    <t>회룡중학교</t>
  </si>
  <si>
    <t>양주</t>
    <phoneticPr fontId="3" type="noConversion"/>
  </si>
  <si>
    <t>고암중학교</t>
  </si>
  <si>
    <t>양주백석중학교</t>
  </si>
  <si>
    <t>양주</t>
    <phoneticPr fontId="3" type="noConversion"/>
  </si>
  <si>
    <t>회천중학교</t>
  </si>
  <si>
    <t>동두천</t>
    <phoneticPr fontId="3" type="noConversion"/>
  </si>
  <si>
    <t>동두천중학교</t>
  </si>
  <si>
    <t>송내중앙중학교</t>
  </si>
  <si>
    <t>포천</t>
    <phoneticPr fontId="3" type="noConversion"/>
  </si>
  <si>
    <t>갈월중학교</t>
  </si>
  <si>
    <t>아침나라</t>
    <phoneticPr fontId="3" type="noConversion"/>
  </si>
  <si>
    <t>내촌중학교</t>
  </si>
  <si>
    <t>미술</t>
    <phoneticPr fontId="3" type="noConversion"/>
  </si>
  <si>
    <t xml:space="preserve">비상 </t>
    <phoneticPr fontId="3" type="noConversion"/>
  </si>
  <si>
    <t>채움교육</t>
    <phoneticPr fontId="3" type="noConversion"/>
  </si>
  <si>
    <t>길벗</t>
    <phoneticPr fontId="3" type="noConversion"/>
  </si>
  <si>
    <t>동남중학교</t>
  </si>
  <si>
    <t>지학사</t>
    <phoneticPr fontId="3" type="noConversion"/>
  </si>
  <si>
    <t>송우중학교</t>
  </si>
  <si>
    <t>192+192</t>
    <phoneticPr fontId="3" type="noConversion"/>
  </si>
  <si>
    <t>이오북스(비상)</t>
    <phoneticPr fontId="3" type="noConversion"/>
  </si>
  <si>
    <t>포천중학교</t>
  </si>
  <si>
    <t>중2(선택)</t>
    <phoneticPr fontId="3" type="noConversion"/>
  </si>
  <si>
    <t>월</t>
    <phoneticPr fontId="3" type="noConversion"/>
  </si>
  <si>
    <t>월</t>
    <phoneticPr fontId="3" type="noConversion"/>
  </si>
  <si>
    <t>월</t>
    <phoneticPr fontId="3" type="noConversion"/>
  </si>
  <si>
    <t>6월 9일</t>
    <phoneticPr fontId="3" type="noConversion"/>
  </si>
  <si>
    <t>6월 16일</t>
    <phoneticPr fontId="3" type="noConversion"/>
  </si>
  <si>
    <t>6월 23일</t>
    <phoneticPr fontId="3" type="noConversion"/>
  </si>
  <si>
    <t>6월 30일</t>
    <phoneticPr fontId="3" type="noConversion"/>
  </si>
  <si>
    <t>7월 2일</t>
  </si>
  <si>
    <t>7월 3일</t>
  </si>
  <si>
    <t>7월 4일</t>
  </si>
  <si>
    <t>일산중, 장성중, 대화중, 한수중, 풍동고</t>
    <phoneticPr fontId="3" type="noConversion"/>
  </si>
  <si>
    <t>본사내근(영업회의)</t>
    <phoneticPr fontId="3" type="noConversion"/>
  </si>
  <si>
    <t>고양중, 목암중, 신원중, 지축중, 향동중</t>
    <phoneticPr fontId="3" type="noConversion"/>
  </si>
  <si>
    <t>교하중, 두일중, 문산동중, 문산수억중, 문산중, 파주고</t>
    <phoneticPr fontId="3" type="noConversion"/>
  </si>
  <si>
    <t>풍동고, 가람중, 능곡중, 행신중, 백마중, 일산양일중</t>
    <phoneticPr fontId="3" type="noConversion"/>
  </si>
  <si>
    <t>고양</t>
    <phoneticPr fontId="3" type="noConversion"/>
  </si>
  <si>
    <t>고양</t>
    <phoneticPr fontId="3" type="noConversion"/>
  </si>
  <si>
    <t>파주</t>
    <phoneticPr fontId="3" type="noConversion"/>
  </si>
  <si>
    <t>본사, 은평</t>
    <phoneticPr fontId="3" type="noConversion"/>
  </si>
  <si>
    <t>남양주</t>
    <phoneticPr fontId="3" type="noConversion"/>
  </si>
  <si>
    <t>본사(영업팀회의), 대성중, 선정중</t>
    <phoneticPr fontId="3" type="noConversion"/>
  </si>
  <si>
    <t>교과서 샘플/활동북</t>
    <phoneticPr fontId="3" type="noConversion"/>
  </si>
  <si>
    <t>교과서 샘플/워크북</t>
    <phoneticPr fontId="3" type="noConversion"/>
  </si>
  <si>
    <t>포스터</t>
    <phoneticPr fontId="3" type="noConversion"/>
  </si>
  <si>
    <t>평가문제집</t>
    <phoneticPr fontId="3" type="noConversion"/>
  </si>
  <si>
    <t>포스터/학자시 샘플북</t>
    <phoneticPr fontId="3" type="noConversion"/>
  </si>
  <si>
    <t>솔뫼중, 부용중, 민락중, 발곡중, 송양중</t>
    <phoneticPr fontId="3" type="noConversion"/>
  </si>
  <si>
    <t>의정부</t>
  </si>
  <si>
    <t>의정부</t>
    <phoneticPr fontId="3" type="noConversion"/>
  </si>
  <si>
    <t>의정부중, 의정부여중, 금오중, 천보중, 신곡중</t>
    <phoneticPr fontId="3" type="noConversion"/>
  </si>
  <si>
    <t>호원중, 회룡중, 고암중, 회천중, 다온중</t>
    <phoneticPr fontId="3" type="noConversion"/>
  </si>
  <si>
    <t>고양</t>
    <phoneticPr fontId="3" type="noConversion"/>
  </si>
  <si>
    <t>일산중</t>
    <phoneticPr fontId="3" type="noConversion"/>
  </si>
  <si>
    <t>창체</t>
    <phoneticPr fontId="3" type="noConversion"/>
  </si>
  <si>
    <t>교문사</t>
    <phoneticPr fontId="3" type="noConversion"/>
  </si>
  <si>
    <t>미선정</t>
    <phoneticPr fontId="3" type="noConversion"/>
  </si>
  <si>
    <t>채움</t>
    <phoneticPr fontId="3" type="noConversion"/>
  </si>
  <si>
    <t>이현숙</t>
    <phoneticPr fontId="3" type="noConversion"/>
  </si>
  <si>
    <t>김지은</t>
    <phoneticPr fontId="3" type="noConversion"/>
  </si>
  <si>
    <t>정유현</t>
    <phoneticPr fontId="3" type="noConversion"/>
  </si>
  <si>
    <t>장성중</t>
    <phoneticPr fontId="3" type="noConversion"/>
  </si>
  <si>
    <t>성안당</t>
    <phoneticPr fontId="3" type="noConversion"/>
  </si>
  <si>
    <t>대화중</t>
    <phoneticPr fontId="3" type="noConversion"/>
  </si>
  <si>
    <t>천재</t>
    <phoneticPr fontId="3" type="noConversion"/>
  </si>
  <si>
    <t>한수중</t>
    <phoneticPr fontId="3" type="noConversion"/>
  </si>
  <si>
    <t>미래엔</t>
    <phoneticPr fontId="3" type="noConversion"/>
  </si>
  <si>
    <t>삼양</t>
    <phoneticPr fontId="3" type="noConversion"/>
  </si>
  <si>
    <t>풍동고</t>
    <phoneticPr fontId="3" type="noConversion"/>
  </si>
  <si>
    <t>가람중</t>
    <phoneticPr fontId="3" type="noConversion"/>
  </si>
  <si>
    <t>지학사</t>
    <phoneticPr fontId="3" type="noConversion"/>
  </si>
  <si>
    <t>비상</t>
    <phoneticPr fontId="3" type="noConversion"/>
  </si>
  <si>
    <t>능곡중</t>
    <phoneticPr fontId="3" type="noConversion"/>
  </si>
  <si>
    <t>교학사</t>
    <phoneticPr fontId="3" type="noConversion"/>
  </si>
  <si>
    <t>행신중</t>
    <phoneticPr fontId="3" type="noConversion"/>
  </si>
  <si>
    <t>성림</t>
    <phoneticPr fontId="3" type="noConversion"/>
  </si>
  <si>
    <t>씨마스</t>
    <phoneticPr fontId="3" type="noConversion"/>
  </si>
  <si>
    <t>백마중</t>
    <phoneticPr fontId="3" type="noConversion"/>
  </si>
  <si>
    <t>미편성</t>
    <phoneticPr fontId="3" type="noConversion"/>
  </si>
  <si>
    <t>동아</t>
    <phoneticPr fontId="3" type="noConversion"/>
  </si>
  <si>
    <t>일산양일중</t>
    <phoneticPr fontId="3" type="noConversion"/>
  </si>
  <si>
    <t>창비</t>
    <phoneticPr fontId="3" type="noConversion"/>
  </si>
  <si>
    <t>파주</t>
    <phoneticPr fontId="3" type="noConversion"/>
  </si>
  <si>
    <t>두일중</t>
    <phoneticPr fontId="3" type="noConversion"/>
  </si>
  <si>
    <t>교하중</t>
    <phoneticPr fontId="3" type="noConversion"/>
  </si>
  <si>
    <t>문산동중</t>
    <phoneticPr fontId="3" type="noConversion"/>
  </si>
  <si>
    <t>문산중</t>
    <phoneticPr fontId="3" type="noConversion"/>
  </si>
  <si>
    <t>해냄</t>
    <phoneticPr fontId="3" type="noConversion"/>
  </si>
  <si>
    <t>와이비엠</t>
    <phoneticPr fontId="3" type="noConversion"/>
  </si>
  <si>
    <t>문산수억중</t>
    <phoneticPr fontId="3" type="noConversion"/>
  </si>
  <si>
    <t>학지사</t>
    <phoneticPr fontId="3" type="noConversion"/>
  </si>
  <si>
    <t>금성</t>
    <phoneticPr fontId="3" type="noConversion"/>
  </si>
  <si>
    <t>고양중</t>
    <phoneticPr fontId="3" type="noConversion"/>
  </si>
  <si>
    <t>목암중</t>
    <phoneticPr fontId="3" type="noConversion"/>
  </si>
  <si>
    <t>삼양선정</t>
    <phoneticPr fontId="3" type="noConversion"/>
  </si>
  <si>
    <t>신원중</t>
    <phoneticPr fontId="3" type="noConversion"/>
  </si>
  <si>
    <t>지축중</t>
    <phoneticPr fontId="3" type="noConversion"/>
  </si>
  <si>
    <t>리베르</t>
    <phoneticPr fontId="3" type="noConversion"/>
  </si>
  <si>
    <t>주곡중</t>
    <phoneticPr fontId="3" type="noConversion"/>
  </si>
  <si>
    <t>퇴계원중</t>
    <phoneticPr fontId="3" type="noConversion"/>
  </si>
  <si>
    <t>김연숙</t>
    <phoneticPr fontId="3" type="noConversion"/>
  </si>
  <si>
    <t>박인자</t>
    <phoneticPr fontId="3" type="noConversion"/>
  </si>
  <si>
    <t>모경선</t>
    <phoneticPr fontId="3" type="noConversion"/>
  </si>
  <si>
    <t>별가람중</t>
    <phoneticPr fontId="3" type="noConversion"/>
  </si>
  <si>
    <t>박준렬</t>
    <phoneticPr fontId="3" type="noConversion"/>
  </si>
  <si>
    <t>박은영</t>
    <phoneticPr fontId="3" type="noConversion"/>
  </si>
  <si>
    <t>의정부</t>
    <phoneticPr fontId="3" type="noConversion"/>
  </si>
  <si>
    <t>솔뫼중</t>
    <phoneticPr fontId="3" type="noConversion"/>
  </si>
  <si>
    <t>부용중</t>
    <phoneticPr fontId="3" type="noConversion"/>
  </si>
  <si>
    <t>길벗</t>
    <phoneticPr fontId="3" type="noConversion"/>
  </si>
  <si>
    <t>민락중</t>
    <phoneticPr fontId="3" type="noConversion"/>
  </si>
  <si>
    <t>발곡중</t>
    <phoneticPr fontId="3" type="noConversion"/>
  </si>
  <si>
    <t>송양중</t>
    <phoneticPr fontId="3" type="noConversion"/>
  </si>
  <si>
    <t>의정부중</t>
    <phoneticPr fontId="3" type="noConversion"/>
  </si>
  <si>
    <t>의정부여중</t>
    <phoneticPr fontId="3" type="noConversion"/>
  </si>
  <si>
    <t>금오중</t>
    <phoneticPr fontId="3" type="noConversion"/>
  </si>
  <si>
    <t>천보중</t>
    <phoneticPr fontId="3" type="noConversion"/>
  </si>
  <si>
    <t>신곡중</t>
    <phoneticPr fontId="3" type="noConversion"/>
  </si>
  <si>
    <t>호원중</t>
    <phoneticPr fontId="3" type="noConversion"/>
  </si>
  <si>
    <t>회룡중</t>
    <phoneticPr fontId="3" type="noConversion"/>
  </si>
  <si>
    <t>이오</t>
    <phoneticPr fontId="3" type="noConversion"/>
  </si>
  <si>
    <t>미진사</t>
    <phoneticPr fontId="3" type="noConversion"/>
  </si>
  <si>
    <t xml:space="preserve">  보건: 씨마스</t>
    <phoneticPr fontId="3" type="noConversion"/>
  </si>
  <si>
    <t>*정보: 디교는 내년에 사용 예정이나 학교환경, 학생정보 입력 등 어려운 부분이 많고 선택사항이면 안 할 가능성 높음, 씨마스의 활동이 많은 부분 알고 있고 단톡방은 모르셔서</t>
    <phoneticPr fontId="3" type="noConversion"/>
  </si>
  <si>
    <t xml:space="preserve"> 안내함</t>
    <phoneticPr fontId="3" type="noConversion"/>
  </si>
  <si>
    <t>*미술: 자료만 받으셨고 교과자료 티칭샘에서 받아보시기를 안내함</t>
    <phoneticPr fontId="3" type="noConversion"/>
  </si>
  <si>
    <t>*보건: 창체수업만 진행함</t>
    <phoneticPr fontId="3" type="noConversion"/>
  </si>
  <si>
    <t>김여선(순회)</t>
    <phoneticPr fontId="3" type="noConversion"/>
  </si>
  <si>
    <t>김준영</t>
    <phoneticPr fontId="3" type="noConversion"/>
  </si>
  <si>
    <t>이재민</t>
    <phoneticPr fontId="3" type="noConversion"/>
  </si>
  <si>
    <t>박수진</t>
    <phoneticPr fontId="3" type="noConversion"/>
  </si>
  <si>
    <t xml:space="preserve">*정보: 순회선생님이며 교육정보부소속 김은주선생님이 자료 받아주셨고 교과서는 본인 부서에서 결정한다고 하심, 자료 잘 확인하고 순회선생님과도 공유하겠다고 하심, </t>
    <phoneticPr fontId="3" type="noConversion"/>
  </si>
  <si>
    <t xml:space="preserve"> 단톡방 어필하며 여러가지 활동들 진행하는 부분 강조함, 순회선생님은 타 학교 소속이며 주 1회만 수업오심(정교사)</t>
    <phoneticPr fontId="3" type="noConversion"/>
  </si>
  <si>
    <t>*진로: 창체로 운영하여 교과서와는 상관없지만 다양한 자료를 필요로 하신다고 함, 단톡방 공유드렸고 워크북 검토 요청함, 진로교사 협의회는 월 1회 진행, 회장은 현산중 선생님</t>
    <phoneticPr fontId="3" type="noConversion"/>
  </si>
  <si>
    <t>*미술: 교과서관련 안내 잘 들어주셨고 자료제공에 감사하다고 하심, 티칭샘 안내</t>
    <phoneticPr fontId="3" type="noConversion"/>
  </si>
  <si>
    <t>*보건: 정규수업은 없으며 성교육, 마약예방, 심폐소생 3타임만 수업하심</t>
    <phoneticPr fontId="3" type="noConversion"/>
  </si>
  <si>
    <t>양지은</t>
    <phoneticPr fontId="3" type="noConversion"/>
  </si>
  <si>
    <t>이윤승</t>
    <phoneticPr fontId="3" type="noConversion"/>
  </si>
  <si>
    <t>박서정</t>
    <phoneticPr fontId="3" type="noConversion"/>
  </si>
  <si>
    <t>*정보: 과학정보부장이며 자료만 받으시고 특별한 말씀은 없으심</t>
    <phoneticPr fontId="3" type="noConversion"/>
  </si>
  <si>
    <t>*진로, 미술, 보건: 자료제공 및 특이사항 없음</t>
    <phoneticPr fontId="3" type="noConversion"/>
  </si>
  <si>
    <t>김경진</t>
    <phoneticPr fontId="3" type="noConversion"/>
  </si>
  <si>
    <t>박제은</t>
    <phoneticPr fontId="3" type="noConversion"/>
  </si>
  <si>
    <t>임윤정</t>
    <phoneticPr fontId="3" type="noConversion"/>
  </si>
  <si>
    <t>김재희</t>
    <phoneticPr fontId="3" type="noConversion"/>
  </si>
  <si>
    <t>*미술: 자료전달 및 교과서 특장점 안내, 처음에는 안받을려고 하셔서 교과서가 아니고 참고자료와 포스터밖에 없으니 필요시에 참고만 하시라고 안내하여 받아주심</t>
    <phoneticPr fontId="3" type="noConversion"/>
  </si>
  <si>
    <t>박지현</t>
    <phoneticPr fontId="3" type="noConversion"/>
  </si>
  <si>
    <t>*정보: 이전에 안내해드린 고등 정보교구 30세트 납품완료, 알티노라이트도 써보셨기에 엠봇과 고등 정보교과서 교구 두가지 안해했었고 예산상 30개 구매 가능한 교구로 선택 후</t>
    <phoneticPr fontId="3" type="noConversion"/>
  </si>
  <si>
    <t xml:space="preserve"> 구매하심, 선택과목 관련 자료를 요청하셔서 다음날 재방문하여 하드케이스로 구성된 고등정보 샘플북 제공함</t>
    <phoneticPr fontId="3" type="noConversion"/>
  </si>
  <si>
    <t>노양재</t>
    <phoneticPr fontId="3" type="noConversion"/>
  </si>
  <si>
    <t>방서연</t>
    <phoneticPr fontId="3" type="noConversion"/>
  </si>
  <si>
    <t>김경희</t>
    <phoneticPr fontId="3" type="noConversion"/>
  </si>
  <si>
    <t>최영미</t>
    <phoneticPr fontId="3" type="noConversion"/>
  </si>
  <si>
    <t>*정보: 교과서 및 자료 수령 거부하심, 단톡방 큐알코드 출력물과 연수안내 자료, 포스터만 전달</t>
    <phoneticPr fontId="3" type="noConversion"/>
  </si>
  <si>
    <t>*진로: 창체로 운영중이며 단톡방은 이미 들어와 있었음, 자료등 잘 활용하고 있다고 하심, 진로교과가 1학년에서 2학년으로 바뀌면서 올해는 창체수업 하지만 내년에는 2학년에</t>
    <phoneticPr fontId="3" type="noConversion"/>
  </si>
  <si>
    <t xml:space="preserve"> 정규 교과로 편성될 예정이라고 하심, 씨마스교과서 긍정적으로 검토해주시길 요청드렸고 선생님 개인은 올해가 가람중 마지막이며 내년에 이동한다고 하심</t>
    <phoneticPr fontId="3" type="noConversion"/>
  </si>
  <si>
    <t>박수경</t>
    <phoneticPr fontId="3" type="noConversion"/>
  </si>
  <si>
    <t>정은주</t>
    <phoneticPr fontId="3" type="noConversion"/>
  </si>
  <si>
    <t>박예리</t>
    <phoneticPr fontId="3" type="noConversion"/>
  </si>
  <si>
    <t>정윤정</t>
    <phoneticPr fontId="3" type="noConversion"/>
  </si>
  <si>
    <t>*진로: 파주 동패중학교에서 올해 새로오신 선생님, 교과서는 비상으로 이전 선생님이 채택해놨고 현재 수업에는 거의 사용하지 않으심, 수업자료 이야기 하던중 미디어바이블이</t>
    <phoneticPr fontId="3" type="noConversion"/>
  </si>
  <si>
    <t xml:space="preserve"> 수업자료를 제공하는데 자료 첫 목차에서 클릭후 바로 동영상이 연결되어있어 편했다고 하심, 진로예산도 적고 지역 센터에서 지원도 미미하다고 함(파주대비)</t>
    <phoneticPr fontId="3" type="noConversion"/>
  </si>
  <si>
    <t>*미술: 3학년부 소속이며 자료 감사하다고 하셨고 자료 잘 받아주심</t>
    <phoneticPr fontId="3" type="noConversion"/>
  </si>
  <si>
    <t>*보건: 정규교과나 창체도 아니며, 체육선생님과 협의하여 성교육, CPR 정도만 수업진행하시며 해마다 주제는 바뀜</t>
    <phoneticPr fontId="3" type="noConversion"/>
  </si>
  <si>
    <t>송민주</t>
    <phoneticPr fontId="3" type="noConversion"/>
  </si>
  <si>
    <t>천영숙</t>
    <phoneticPr fontId="3" type="noConversion"/>
  </si>
  <si>
    <t>박남일</t>
    <phoneticPr fontId="3" type="noConversion"/>
  </si>
  <si>
    <t>*각 교과에 자료 전달되었고 특이사항 없음</t>
    <phoneticPr fontId="3" type="noConversion"/>
  </si>
  <si>
    <t>손미경</t>
    <phoneticPr fontId="3" type="noConversion"/>
  </si>
  <si>
    <t>김문수</t>
    <phoneticPr fontId="3" type="noConversion"/>
  </si>
  <si>
    <t>허수영</t>
    <phoneticPr fontId="3" type="noConversion"/>
  </si>
  <si>
    <t>*정보: 올해 정보교과 미편성되어 선생님도 없음, 내년에 새로 오실 예정임</t>
    <phoneticPr fontId="3" type="noConversion"/>
  </si>
  <si>
    <t>*진로: 포스터 좋다고 하심, 연락처 공유는 안해주셔서 단톡방 큐알로 가입하시길 안내함</t>
    <phoneticPr fontId="3" type="noConversion"/>
  </si>
  <si>
    <t>*미술: 3학년부 소속이며 자료만 받으심</t>
    <phoneticPr fontId="3" type="noConversion"/>
  </si>
  <si>
    <t>권다은</t>
    <phoneticPr fontId="3" type="noConversion"/>
  </si>
  <si>
    <t>남상민</t>
    <phoneticPr fontId="3" type="noConversion"/>
  </si>
  <si>
    <t>김완지/김민정</t>
    <phoneticPr fontId="3" type="noConversion"/>
  </si>
  <si>
    <t>김다정/유정주</t>
    <phoneticPr fontId="3" type="noConversion"/>
  </si>
  <si>
    <t>*정보: 자료만 받으심, 단톡방 안내</t>
    <phoneticPr fontId="3" type="noConversion"/>
  </si>
  <si>
    <t>*진로: 체육에서 진로로 바꾸신 선생님으로 이전 체육때 씨마스교과서 채택했었다고 하심, 이번 교과서는 비상으로 선택하셨고 씨마스가 2위였다고 하심, 선정이유는 쉬운난이도</t>
    <phoneticPr fontId="3" type="noConversion"/>
  </si>
  <si>
    <t xml:space="preserve"> 자료제공 및 단톡방 안내함</t>
    <phoneticPr fontId="3" type="noConversion"/>
  </si>
  <si>
    <t>*보건: 보건선생님 두명있고 그중 김다정선생님은 자사저자임, 출판사 방문은 처음이라고 하셨고 무척 반가워 하심, 고양시에서 보건 교과 채택학교가 본인이 알기로는 4개학교</t>
    <phoneticPr fontId="3" type="noConversion"/>
  </si>
  <si>
    <t xml:space="preserve"> 정도로 알고있다고 하셨음, 창체로 운영될때는 7차시~17차시정도 운영된다고 하심</t>
    <phoneticPr fontId="3" type="noConversion"/>
  </si>
  <si>
    <t>박춘식</t>
    <phoneticPr fontId="3" type="noConversion"/>
  </si>
  <si>
    <t>김선희</t>
    <phoneticPr fontId="3" type="noConversion"/>
  </si>
  <si>
    <t>박중희</t>
    <phoneticPr fontId="3" type="noConversion"/>
  </si>
  <si>
    <t>*정보: 컴퓨터실로 찾아가 방문드렸고 씨마스에서 왔다고 하니 드릴게 있다고 하시며 교무실로 같이 이동함, 학기초에 씨마스에서 주고갔다고 하며 보조배터리 가져가라고 하심</t>
    <phoneticPr fontId="3" type="noConversion"/>
  </si>
  <si>
    <t xml:space="preserve"> 본사차원에서는 드린적이 없는 물품임을 말씀드렸고 상당히 난감해하시는 것 같아서 일단 받아옴, 가져간 자료는 물론 전부 거절하심, 나와서 확인결과 와이비엠이 적혀있었음</t>
    <phoneticPr fontId="3" type="noConversion"/>
  </si>
  <si>
    <t>창체</t>
    <phoneticPr fontId="3" type="noConversion"/>
  </si>
  <si>
    <t>*진로: 올해오신 선생님이며 창체로 3학년만 수업하심, 자료제공 및 단톡방 안내함</t>
    <phoneticPr fontId="3" type="noConversion"/>
  </si>
  <si>
    <t>*보건: 교과, 창체 전부 해당사항 없음, 자료 잘 받아주심</t>
    <phoneticPr fontId="3" type="noConversion"/>
  </si>
  <si>
    <t>이상욱</t>
    <phoneticPr fontId="3" type="noConversion"/>
  </si>
  <si>
    <t>김혜경</t>
    <phoneticPr fontId="3" type="noConversion"/>
  </si>
  <si>
    <t>김은주</t>
    <phoneticPr fontId="3" type="noConversion"/>
  </si>
  <si>
    <t>임은정</t>
    <phoneticPr fontId="3" type="noConversion"/>
  </si>
  <si>
    <t>*진로: 현재 창체이지만 올해 교과서 선정할 예정이라고 하심, 긍정적 검토 요청드리며 단톡방 바로 가입시켜드림, 포스터 좋아하심</t>
    <phoneticPr fontId="3" type="noConversion"/>
  </si>
  <si>
    <t xml:space="preserve">*미술: 자료전달 </t>
    <phoneticPr fontId="3" type="noConversion"/>
  </si>
  <si>
    <t>*정보: 방문당일 부재중이어서 미팅은 못함, 포스터 및 자료만 제공함</t>
    <phoneticPr fontId="3" type="noConversion"/>
  </si>
  <si>
    <t>*정보: 자료만 받으심, 학자시 해당사항 없음</t>
    <phoneticPr fontId="3" type="noConversion"/>
  </si>
  <si>
    <t>*진로:자료는 받으셨으나 단톡방은 거절하심, 진로실밖 진열장에 학교 자체제작 워크북이 있어서 가져옴</t>
    <phoneticPr fontId="3" type="noConversion"/>
  </si>
  <si>
    <t>김채현(순회)</t>
    <phoneticPr fontId="3" type="noConversion"/>
  </si>
  <si>
    <t>이강미</t>
    <phoneticPr fontId="3" type="noConversion"/>
  </si>
  <si>
    <t>순회</t>
    <phoneticPr fontId="3" type="noConversion"/>
  </si>
  <si>
    <t>최정임</t>
    <phoneticPr fontId="3" type="noConversion"/>
  </si>
  <si>
    <t>*정보: 순회선생님이며 바로옆 파주고에서 오신다고 하심, 문산동중학교과 파주고는 연결되어있음, 고등학교 방문하여 선생님 미팅함, 올해 임용되신 선생님이며 중학교는 주1회</t>
    <phoneticPr fontId="3" type="noConversion"/>
  </si>
  <si>
    <t xml:space="preserve"> 수업하며 현재 교과서가 성안당인데 거의 안본다고 하심, 씨마스 활도하는것 단톡방 화면으로 보여드렸고 워크북, 교구관련 자료 전부 공유드림, 단톡방 가입을 위해 연락처 </t>
    <phoneticPr fontId="3" type="noConversion"/>
  </si>
  <si>
    <t xml:space="preserve"> 확보했고 링크로 공유드림, 현 고등학교 교과서는 삼양이며 불만족스럽고 잘 안쓴다고 하심</t>
    <phoneticPr fontId="3" type="noConversion"/>
  </si>
  <si>
    <t>위세창</t>
    <phoneticPr fontId="3" type="noConversion"/>
  </si>
  <si>
    <t>김숙경</t>
    <phoneticPr fontId="3" type="noConversion"/>
  </si>
  <si>
    <t>*정보: 본교 소속이며 방문당일 타학교 순회나가심(주1회), 자료 전달함</t>
    <phoneticPr fontId="3" type="noConversion"/>
  </si>
  <si>
    <t>*진로: 자료제공에 감사를 표하시며 포스터까지 잘 받아주심, 단톡방 설명드렸고 링크공유를 위해 연락처 확보하여 공유드림</t>
    <phoneticPr fontId="3" type="noConversion"/>
  </si>
  <si>
    <t>박윤진</t>
    <phoneticPr fontId="3" type="noConversion"/>
  </si>
  <si>
    <t>홍숙영</t>
    <phoneticPr fontId="3" type="noConversion"/>
  </si>
  <si>
    <t>최은지</t>
    <phoneticPr fontId="3" type="noConversion"/>
  </si>
  <si>
    <t>정영지</t>
    <phoneticPr fontId="3" type="noConversion"/>
  </si>
  <si>
    <t>*정보: 디지털새싹(앱개발) 수업진행중, 데이터분석이나 마이크로비트활용 수업에 관심 많으심, 자료제공했고 단톡방도 공유받기 원하셔서 전화번호 확보후 링크 공유해드림</t>
    <phoneticPr fontId="3" type="noConversion"/>
  </si>
  <si>
    <t>*진로: 출장중 자료만 제공</t>
    <phoneticPr fontId="3" type="noConversion"/>
  </si>
  <si>
    <t xml:space="preserve">*미술: 3학년부 소속 선생님이며 자료는 잘 받아주심, 씨마스가 미술에서는 인지도가 좀 낮은 것 같다고 하셔서 차츰 선호하는 선생님들이 늘어나고 있고 긍정적인 특장점이 </t>
    <phoneticPr fontId="3" type="noConversion"/>
  </si>
  <si>
    <t xml:space="preserve"> 상당히 많은 교과서임을 어필함, 긍정적 검토 요청드림</t>
    <phoneticPr fontId="3" type="noConversion"/>
  </si>
  <si>
    <t>*보건: 교과나 창체로 수업은 없음</t>
    <phoneticPr fontId="3" type="noConversion"/>
  </si>
  <si>
    <t>민동희</t>
    <phoneticPr fontId="3" type="noConversion"/>
  </si>
  <si>
    <t>이주미</t>
    <phoneticPr fontId="3" type="noConversion"/>
  </si>
  <si>
    <t>김경민</t>
    <phoneticPr fontId="3" type="noConversion"/>
  </si>
  <si>
    <t>우찬희</t>
    <phoneticPr fontId="3" type="noConversion"/>
  </si>
  <si>
    <t>*정보: 올해 새로 부임하신 선생님으로 현재 학자시와 디교는 해당사항이 없는데 내년에 학자시 할지도 모르겠다고 하심(아직 안내받은 사항 없음), 디교와 관련해서는 현재</t>
    <phoneticPr fontId="3" type="noConversion"/>
  </si>
  <si>
    <t xml:space="preserve"> 로그인하는 부분이 디지털 원패스로 로그인하는데 입력시 학생정보가 없는경우, 정보동의 등 오류 및 불편사항 다수 발생한다고 함, 학생들이 비번관리가 잘 안되어 초기화</t>
    <phoneticPr fontId="3" type="noConversion"/>
  </si>
  <si>
    <t xml:space="preserve"> 해야하는 경우가 생기는데 그 권한은 담임선생님에게 만 부여되어 수업중 정보선생님이 컨트롤 못하는 등 문제점들이 많아 잘 사용 안하게 된다고 동기들에게 들음</t>
    <phoneticPr fontId="3" type="noConversion"/>
  </si>
  <si>
    <t xml:space="preserve"> 선택사항이면 본인은 안할거라고 하심</t>
    <phoneticPr fontId="3" type="noConversion"/>
  </si>
  <si>
    <t>*진로: 씨마스 잘 알고 계셨고 단톡방에는 이미 들어와 계셨음, 포스터와 워크북 잘 받아주셨고 연락처도 공유받음, 교과서는 차후 확인결과 삼양으로 이미선정된 것 확인</t>
    <phoneticPr fontId="3" type="noConversion"/>
  </si>
  <si>
    <t>조가현</t>
    <phoneticPr fontId="3" type="noConversion"/>
  </si>
  <si>
    <t>장호진</t>
    <phoneticPr fontId="3" type="noConversion"/>
  </si>
  <si>
    <t>조성민</t>
    <phoneticPr fontId="3" type="noConversion"/>
  </si>
  <si>
    <t>박교은</t>
    <phoneticPr fontId="3" type="noConversion"/>
  </si>
  <si>
    <t>*정보, 진로: 자료 및 포스터 전달 완료</t>
    <phoneticPr fontId="3" type="noConversion"/>
  </si>
  <si>
    <t>*보건: 이전에는 창체수업 했었는데 이제는 안한다고 하심/학생수가 많아서 그렇다고 하심</t>
    <phoneticPr fontId="3" type="noConversion"/>
  </si>
  <si>
    <t>*미술: 3학년부 선생님이며 자료는 잘 받아주심, 미술교사 총 3명 근무중이며 자료주면 전달해 주겠다고 하셔서 추가로 워크북, 수업자료집 제공함</t>
    <phoneticPr fontId="3" type="noConversion"/>
  </si>
  <si>
    <t>고화연</t>
    <phoneticPr fontId="3" type="noConversion"/>
  </si>
  <si>
    <t>김자명</t>
    <phoneticPr fontId="3" type="noConversion"/>
  </si>
  <si>
    <t>강승아</t>
    <phoneticPr fontId="3" type="noConversion"/>
  </si>
  <si>
    <t>추현주</t>
    <phoneticPr fontId="3" type="noConversion"/>
  </si>
  <si>
    <t>*정보: 2학년 삼양 교과서로 현재 수업중, 교과서 관련 자료는 안받겠다고 하셔서 연수프로셔, 단톡방안내, 포스터만 제공함, 단톡방 꼭 가입하시길 말씀드림</t>
    <phoneticPr fontId="3" type="noConversion"/>
  </si>
  <si>
    <t>*미술: 올해 해당학교로 오심, 이전학교에서는 비상을 썼음, 씨마스는 교과서 검토에 어땠는지 기억은 잘 안난다고 하심, 자료 및 포스터 제공 감사하다 하심</t>
    <phoneticPr fontId="3" type="noConversion"/>
  </si>
  <si>
    <t>*보건: 교과, 창체 아니어서 수업안함, 자료는 잘 받으심</t>
    <phoneticPr fontId="3" type="noConversion"/>
  </si>
  <si>
    <t xml:space="preserve">*정보: 지난 1차방문시 말씀드린 학자시관련 샘플 중 앱과코딩 받아보길 원하신다고 연락이와서 방문함, 연세가 있지만 올해 첫 정보교사로 임용되신 선생님이며 상당히 우호적인 </t>
    <phoneticPr fontId="3" type="noConversion"/>
  </si>
  <si>
    <t xml:space="preserve"> 선생님임, 올해는 학자시에 진로와 예체능쪽만 배정이 되었는데 내년에 정보 추가한다고 하여 정보교과와 연계성을 고려해서 앱과코딩을 검토해 보려 함, 내년 1학기는 교과수업</t>
    <phoneticPr fontId="3" type="noConversion"/>
  </si>
  <si>
    <t xml:space="preserve"> 2학기에 학자시수업 예정, 추가로 슬기로운 인공지능 윤리생활도 같이 제공함, 디교는 아직 선정여부에 대해 모른다고 하심, 온라인 활용은 현재 하이러닝 활용중이며 해당</t>
    <phoneticPr fontId="3" type="noConversion"/>
  </si>
  <si>
    <t xml:space="preserve"> 수업은 구축된 자료는 별로 없고 본인 자료 올리거나 링크불러오기 해서 사용함</t>
    <phoneticPr fontId="3" type="noConversion"/>
  </si>
  <si>
    <t>*진로: 진로신간인 직업의세계 관련 설문을 위해 방문, 예산을 이유로 비싼 워크북 구매가 어려움, 차라리 분권이 되어있으면 좋겠고 워크북 있으면 당연 좋음, 6차시 수업분량은</t>
    <phoneticPr fontId="3" type="noConversion"/>
  </si>
  <si>
    <t xml:space="preserve"> 적절해 보이며 본책의 구성도 괜찮아 보인다고 하심, 비슷한 교재로는 직업바이블이 있지만 씨마스책이 더 쉽게 다다가는 느낌으로 보임</t>
    <phoneticPr fontId="3" type="noConversion"/>
  </si>
  <si>
    <t>*정보: 올해 새로오신 선생님으로 2차 미팅임, 새로운 워크북 및 포스터 제공에 감사, 단톡방은 기 가입됨</t>
    <phoneticPr fontId="3" type="noConversion"/>
  </si>
  <si>
    <t>최하나</t>
    <phoneticPr fontId="3" type="noConversion"/>
  </si>
  <si>
    <t>김은혜</t>
    <phoneticPr fontId="3" type="noConversion"/>
  </si>
  <si>
    <t>*보건만 직접 전달했고 타 교과는 시험출제기간으로 출입이 어려워 자료만 전달</t>
    <phoneticPr fontId="3" type="noConversion"/>
  </si>
  <si>
    <t>*정보: 올해 새로오신 선생님이며 2차미팅임, 컴퓨터실 수업준비로 바쁘셔서 자료전달만 하고 인사드림</t>
    <phoneticPr fontId="3" type="noConversion"/>
  </si>
  <si>
    <t xml:space="preserve">*진로: 이오미디어에 조금더 우호적이었던 선생님으로 2차 방문으로 자료를 제공하며 이오에서 방문하여 이렇게 활동하는지 물었고 그렇지 않다고 하심, 교과서도 이오보다 </t>
    <phoneticPr fontId="3" type="noConversion"/>
  </si>
  <si>
    <t xml:space="preserve"> 채택순위도 높고 선생님들과 계속 소통하고있는 씨마스이니 더 긍정적으로 봐 주시기를 요청드림</t>
    <phoneticPr fontId="3" type="noConversion"/>
  </si>
  <si>
    <t>*보건: 창체까지는 아니나 동영상으로 수업은 가끔 한다고 하심, 자료제공 완료</t>
    <phoneticPr fontId="3" type="noConversion"/>
  </si>
  <si>
    <t>김진영</t>
    <phoneticPr fontId="3" type="noConversion"/>
  </si>
  <si>
    <t>정보부장</t>
    <phoneticPr fontId="3" type="noConversion"/>
  </si>
  <si>
    <t>유희자</t>
    <phoneticPr fontId="3" type="noConversion"/>
  </si>
  <si>
    <t>*정보: 자료는 잘 받아주셨고 포스토도 컴퓨터실에 부착하면 좋겠다고 하심, 단톡방 안내드렸으나 그건 거부하심, 교과서 긍정적 검토 요청드림</t>
    <phoneticPr fontId="3" type="noConversion"/>
  </si>
  <si>
    <t>*진로: 포스터만 받으심</t>
    <phoneticPr fontId="3" type="noConversion"/>
  </si>
  <si>
    <t>*미술,보건: 자료전달 완료</t>
    <phoneticPr fontId="3" type="noConversion"/>
  </si>
  <si>
    <t>이두하</t>
    <phoneticPr fontId="3" type="noConversion"/>
  </si>
  <si>
    <t>신문재</t>
    <phoneticPr fontId="3" type="noConversion"/>
  </si>
  <si>
    <t>이지영/김지영</t>
    <phoneticPr fontId="3" type="noConversion"/>
  </si>
  <si>
    <t>*미술: 이지영선생님은 1학년부 소속이며 올해 새로오신 선생님으로 자료만 잘 받아주심, 창의예술부 김지영 선생님은 고등학교에서 오셨고 타 선생님 통해서 씨마스교과서가</t>
    <phoneticPr fontId="3" type="noConversion"/>
  </si>
  <si>
    <t xml:space="preserve"> 좋다고하는 소리 들었다고 하시며 먼곳까지 자료가지고 와주어서 감사하다고 하심(엘베없는 6층 구석 미술실), 교과서는 선정시에 잘 확인해 보겠다고 하심</t>
    <phoneticPr fontId="3" type="noConversion"/>
  </si>
  <si>
    <t>김미영</t>
    <phoneticPr fontId="3" type="noConversion"/>
  </si>
  <si>
    <t>김향춘</t>
    <phoneticPr fontId="3" type="noConversion"/>
  </si>
  <si>
    <t>김성경</t>
    <phoneticPr fontId="3" type="noConversion"/>
  </si>
  <si>
    <t>*정보: 학자시와 디교는 해당사항이 없음, 씨마스에서 연수안내는 문자로 받고있다고 하셔서 단톡방 가입 확인했으나 아니어서 단톡방 안내했고(티칭샘 가입하셔서 안내받는 것)</t>
    <phoneticPr fontId="3" type="noConversion"/>
  </si>
  <si>
    <t xml:space="preserve"> 자료는 잘 받아주셨고 검토해보겠다고 하심</t>
    <phoneticPr fontId="3" type="noConversion"/>
  </si>
  <si>
    <t>*진로: 창체수업으로 교과서는 사용안함, 2년뒤 3학년부터 정규교과로 전환 될 예정이라고 하심, 자료제공에 감사하다고 하셨고 단톡방은 정중히 안내받기를 거절함</t>
    <phoneticPr fontId="3" type="noConversion"/>
  </si>
  <si>
    <t>박수정</t>
    <phoneticPr fontId="3" type="noConversion"/>
  </si>
  <si>
    <t>송주리</t>
    <phoneticPr fontId="3" type="noConversion"/>
  </si>
  <si>
    <t>허서영</t>
    <phoneticPr fontId="3" type="noConversion"/>
  </si>
  <si>
    <t>*정보: 내년에 학자시 정보 추가될 예정이며 씨마스는 당연히 잘 알고 있다고 하심, 학자시샘플북 공유드리고 검토요청, 디교는 본인 타 선생님들 의견이 회의적이라고 하심</t>
    <phoneticPr fontId="3" type="noConversion"/>
  </si>
  <si>
    <t xml:space="preserve"> 단톡방 안내드렸고 이번 정보교과서 선정시 검토 요청드림</t>
    <phoneticPr fontId="3" type="noConversion"/>
  </si>
  <si>
    <t>*보건: 동두천에서 작년에 씨마스 선정후 올해 발곡중학교로 옮기셨는데 그 학교는 올해 보건이 없어졌다고 하심, 씨마스 잘 봐주셔서 감사드리며 자료 및 포스터 제공함</t>
    <phoneticPr fontId="3" type="noConversion"/>
  </si>
  <si>
    <t>최미라</t>
    <phoneticPr fontId="3" type="noConversion"/>
  </si>
  <si>
    <t>이상엽</t>
    <phoneticPr fontId="3" type="noConversion"/>
  </si>
  <si>
    <t>김진태</t>
    <phoneticPr fontId="3" type="noConversion"/>
  </si>
  <si>
    <t>*학교가 전체적으로 자료수령이나 외부인 출입에 부정적인 느낌이 강하고 정보, 진로 선생님은 자료만 받으심, 미술선생님은 자료수령 완강히 거부하심(포스터도 안받음)</t>
    <phoneticPr fontId="3" type="noConversion"/>
  </si>
  <si>
    <t>고희정</t>
    <phoneticPr fontId="3" type="noConversion"/>
  </si>
  <si>
    <t>김세희</t>
    <phoneticPr fontId="3" type="noConversion"/>
  </si>
  <si>
    <t>*정보: 교무부장님 통해서 내년에 학자시에 채택할 정보 교과서 리스트는 받아봤는데 그중 제목만으로 가장 맘에드는 교재가 데이터분석과 인공지능, 인공지능과 윤리생활이었음</t>
    <phoneticPr fontId="3" type="noConversion"/>
  </si>
  <si>
    <t xml:space="preserve"> 마침 샘플북 제공해주셔서 감사, 1학년은 정보교과서 수업하고 2학년때 학자시로 정보가 배정됨, 디지털교과서는 비상으로 선정해 놨으나 아직 사용안하고 있음, 단톡방 안내함</t>
    <phoneticPr fontId="3" type="noConversion"/>
  </si>
  <si>
    <t>*미술, 진로, 보건: 자료전달</t>
    <phoneticPr fontId="3" type="noConversion"/>
  </si>
  <si>
    <t>이상수</t>
    <phoneticPr fontId="3" type="noConversion"/>
  </si>
  <si>
    <t>양경숙</t>
    <phoneticPr fontId="3" type="noConversion"/>
  </si>
  <si>
    <t>*진로: 포천에서 올해 새로오심, 자료 잘 받아주시고 포스터도 잘 붙혀놓겠다고 하심, 단톡방도 공유해주길 원하셔서 큐알코드 안내함</t>
    <phoneticPr fontId="3" type="noConversion"/>
  </si>
  <si>
    <t>*보건: 수업은 없다고 하심, 자료제공</t>
    <phoneticPr fontId="3" type="noConversion"/>
  </si>
  <si>
    <t>최귀애</t>
    <phoneticPr fontId="3" type="noConversion"/>
  </si>
  <si>
    <t>김요환</t>
    <phoneticPr fontId="3" type="noConversion"/>
  </si>
  <si>
    <t>이혜진</t>
    <phoneticPr fontId="3" type="noConversion"/>
  </si>
  <si>
    <t>정경희</t>
    <phoneticPr fontId="3" type="noConversion"/>
  </si>
  <si>
    <t>*정보, 진로, 미술: 자료전달 및 단톡방 안내</t>
    <phoneticPr fontId="3" type="noConversion"/>
  </si>
  <si>
    <t xml:space="preserve">  -17차시 수업에서는 교과서를 다 다룰수 없음, 흡연/성교육/응급처치 세가지파트가 필수인데 흡연에 관한 부분이 너무 분량이 적다, 약물보다 흡연이 더 필요함</t>
    <phoneticPr fontId="3" type="noConversion"/>
  </si>
  <si>
    <t xml:space="preserve">  -글밥이 너무 많은게 단점이다, 학생들이 그런 글을 잘 안보기 때문에 시각적 자료를 더 많이 활용해야 한다고 생각함</t>
    <phoneticPr fontId="3" type="noConversion"/>
  </si>
  <si>
    <t xml:space="preserve">  -단원평가는 잘 활용하지 않기 때문에 자료로 따로 제공하는게 더 효과적으로 보임(교과서에서는 필요성 못느낌)</t>
    <phoneticPr fontId="3" type="noConversion"/>
  </si>
  <si>
    <t>*보건: 교과서 선정 검토시 좋아보여서 채택했으나 수업하면서 몇가지 아쉬운점이 보인다, 자사 저자인 박고은선생님 알고있으며 천재하고 고민하다가 선정했다고 하심</t>
    <phoneticPr fontId="3" type="noConversion"/>
  </si>
  <si>
    <t xml:space="preserve">  -5단원은 실질적으로 수업 못하기에 그 분량을 줄이고 필수적인 부분에 분량이 늘어나는게 좋다고 생각함(예: 흡연)</t>
    <phoneticPr fontId="3" type="noConversion"/>
  </si>
  <si>
    <t>김미나</t>
    <phoneticPr fontId="3" type="noConversion"/>
  </si>
  <si>
    <t>장혜선</t>
    <phoneticPr fontId="3" type="noConversion"/>
  </si>
  <si>
    <t>안선영/황유진</t>
    <phoneticPr fontId="3" type="noConversion"/>
  </si>
  <si>
    <t>유다영</t>
    <phoneticPr fontId="3" type="noConversion"/>
  </si>
  <si>
    <t>*정보: 대화는 없었고 자료만 받으심, 단톡방은 필요시 찾아보겠다고 함</t>
    <phoneticPr fontId="3" type="noConversion"/>
  </si>
  <si>
    <t>*미술: 안선영선생님은 3학년부이며 황유진 선생님은 2학년부임 각각 자료 제공했고 받기만 하심</t>
    <phoneticPr fontId="3" type="noConversion"/>
  </si>
  <si>
    <t>이수린</t>
    <phoneticPr fontId="3" type="noConversion"/>
  </si>
  <si>
    <t>박현지</t>
    <phoneticPr fontId="3" type="noConversion"/>
  </si>
  <si>
    <t xml:space="preserve">*정보: 고등학교에서 오신 선생님이며 고등학교에서 씨마스 유명하여 잘 알고 있다고 하심, 단톡방은 모르셔서 안내해 드렸고 인원이 많은 부분에 놀라심, 학자시와 디교는 </t>
    <phoneticPr fontId="3" type="noConversion"/>
  </si>
  <si>
    <t xml:space="preserve"> 해당사항이 없다고 하심, 교과서 선정시 긍정적 검토 요청드리며 교사용교재 제공함</t>
    <phoneticPr fontId="3" type="noConversion"/>
  </si>
  <si>
    <t>*미술: 젊은 선생님이며 씨마스 알고있다고 하심, 자료 하나하나 보시며 제공해주셔서 감사하다고 하심, 티칭샘 링크공유를 위해 연락처 확보했고 안내함</t>
    <phoneticPr fontId="3" type="noConversion"/>
  </si>
  <si>
    <t>김분홍</t>
    <phoneticPr fontId="3" type="noConversion"/>
  </si>
  <si>
    <t>김필숙</t>
    <phoneticPr fontId="3" type="noConversion"/>
  </si>
  <si>
    <t>이주현</t>
    <phoneticPr fontId="3" type="noConversion"/>
  </si>
  <si>
    <t>*정보: 교과서 관련된 자료는 받으면 안된다고 가져가라고 하셔서 포스터와 연수안내 팜플릿만 받으심, 단톡방 공유도 못함</t>
    <phoneticPr fontId="3" type="noConversion"/>
  </si>
  <si>
    <t>*진로: 말씀은 없었지만 자료는 잘 받아주심</t>
    <phoneticPr fontId="3" type="noConversion"/>
  </si>
  <si>
    <t>*보건: 수업은 없지만 자료제공 감사, 예전에는 진로시간에 보건수업도 같이 하고 그랬었다고 함, 현재는 아님</t>
    <phoneticPr fontId="3" type="noConversion"/>
  </si>
  <si>
    <t>김정은</t>
    <phoneticPr fontId="3" type="noConversion"/>
  </si>
  <si>
    <t>김선희/황지영</t>
    <phoneticPr fontId="3" type="noConversion"/>
  </si>
  <si>
    <t>이연수</t>
    <phoneticPr fontId="3" type="noConversion"/>
  </si>
  <si>
    <t>이상은</t>
    <phoneticPr fontId="3" type="noConversion"/>
  </si>
  <si>
    <t>*정보: 자료제공 및 단톡방 안내</t>
    <phoneticPr fontId="3" type="noConversion"/>
  </si>
  <si>
    <t xml:space="preserve">*진로: 책꽂이에 직업관련된 도서가 있어서 동의를 얻어 사진촬영함, 직업관련 수업은 따로 안하고 체험활동 위주로 함, 예산이 없어서 그마저도 잘 못함, 포스터는 유용하게 </t>
    <phoneticPr fontId="3" type="noConversion"/>
  </si>
  <si>
    <t xml:space="preserve"> 잘 쓰겠다고 하심</t>
    <phoneticPr fontId="3" type="noConversion"/>
  </si>
  <si>
    <t>*보건: 올해까지는 17차시 천재교과서로 수업하지만 내년부터는 창체로 전환되며 교과서는 더 이상 사용하지 않을 예정이라고 하심</t>
    <phoneticPr fontId="3" type="noConversion"/>
  </si>
  <si>
    <t>본사(영업팀회의), 서연중, 신연중</t>
    <phoneticPr fontId="3" type="noConversion"/>
  </si>
  <si>
    <t>본사, 서대문</t>
    <phoneticPr fontId="3" type="noConversion"/>
  </si>
  <si>
    <t>연신중, 구산중, 영락중, 상신중, 가재울중</t>
    <phoneticPr fontId="3" type="noConversion"/>
  </si>
  <si>
    <t>은평, 서대문</t>
    <phoneticPr fontId="3" type="noConversion"/>
  </si>
  <si>
    <t>중암중, 성사중, 경성중, 홍대부여중, 성산중</t>
    <phoneticPr fontId="3" type="noConversion"/>
  </si>
  <si>
    <t>서대문, 마포</t>
    <phoneticPr fontId="3" type="noConversion"/>
  </si>
  <si>
    <t>광성중, 신수중, 동도중, 서울여중, 중앙여중</t>
    <phoneticPr fontId="3" type="noConversion"/>
  </si>
  <si>
    <t>서대문, 마포</t>
    <phoneticPr fontId="3" type="noConversion"/>
  </si>
  <si>
    <t>6월 2주~6월 4주차 업무진행</t>
    <phoneticPr fontId="3" type="noConversion"/>
  </si>
  <si>
    <t>2025년 6월 27일 영업 보고</t>
    <phoneticPr fontId="3" type="noConversion"/>
  </si>
  <si>
    <t xml:space="preserve">  2025-6-27(금요일)</t>
    <phoneticPr fontId="3" type="noConversion"/>
  </si>
  <si>
    <t xml:space="preserve">  2025년 6월 9일 ~ 6월 27일</t>
    <phoneticPr fontId="3" type="noConversion"/>
  </si>
  <si>
    <t>중학교 ( 58  )  고등학교(  )</t>
    <phoneticPr fontId="3" type="noConversion"/>
  </si>
  <si>
    <t>6월</t>
    <phoneticPr fontId="3" type="noConversion"/>
  </si>
  <si>
    <t>30세트</t>
    <phoneticPr fontId="3" type="noConversion"/>
  </si>
  <si>
    <t>7월 1일</t>
    <phoneticPr fontId="3" type="noConversion"/>
  </si>
  <si>
    <t>7월 7일</t>
    <phoneticPr fontId="3" type="noConversion"/>
  </si>
  <si>
    <t>7월 8일</t>
  </si>
  <si>
    <t>7월 9일</t>
  </si>
  <si>
    <t>7월 10일</t>
  </si>
  <si>
    <t>7월 11일</t>
  </si>
  <si>
    <t xml:space="preserve">   *공통: 연수안내 브로셔, 도서목록, 과목별 포스터</t>
    <phoneticPr fontId="3" type="noConversion"/>
  </si>
  <si>
    <t xml:space="preserve">   *정보: 정보 활동북 200% 활용하기 워크북, 학자시 교과서 샘플북, 단톡방 안내자료</t>
    <phoneticPr fontId="3" type="noConversion"/>
  </si>
  <si>
    <t xml:space="preserve">   *진로: 진로탐색 워크북, 유형별 고등학교 현황과 입학전형 안내책자, 도서목록(티칭샘 안내용), 단톡방 안내자료</t>
    <phoneticPr fontId="3" type="noConversion"/>
  </si>
  <si>
    <t xml:space="preserve">   *보건: 수업마스터 평가문제집</t>
    <phoneticPr fontId="3" type="noConversion"/>
  </si>
  <si>
    <t xml:space="preserve"> -미선정학교 대상으로 영업순위 설정(A,B,C): A,B 분류 선생님 우선방문(여름방학 전까지) </t>
    <phoneticPr fontId="3" type="noConversion"/>
  </si>
  <si>
    <t xml:space="preserve">    *영업 내용: 미선정학교 53개 방문영업 완료, 미선정교과 선생님에게는 교사용교과서 추가제공</t>
    <phoneticPr fontId="3" type="noConversion"/>
  </si>
  <si>
    <t xml:space="preserve">     -정보, 진로, 미술, 보건 모두 방문하여 포스터, 연수안내자료, 과목별 전달자료 제공 및 단톡방 안내</t>
    <phoneticPr fontId="3" type="noConversion"/>
  </si>
  <si>
    <t xml:space="preserve"> -2차방문은 미선정과목이 있는 학교 위주로 방문예정, 영업자료는 1차 방문시 제공된 자료와 다르게 아래와 같이 구성하여 진행</t>
    <phoneticPr fontId="3" type="noConversion"/>
  </si>
  <si>
    <t xml:space="preserve">  *채택 유력한 선생님 대상 스타벅스 카드 제공 </t>
    <phoneticPr fontId="3" type="noConversion"/>
  </si>
  <si>
    <t xml:space="preserve">    *영업 대상지역: 고양/파주, 의정부, 서대문/은평, 마포</t>
    <phoneticPr fontId="3" type="noConversion"/>
  </si>
  <si>
    <t>서대문</t>
    <phoneticPr fontId="3" type="noConversion"/>
  </si>
  <si>
    <t>은평</t>
    <phoneticPr fontId="3" type="noConversion"/>
  </si>
  <si>
    <t>대성중</t>
    <phoneticPr fontId="3" type="noConversion"/>
  </si>
  <si>
    <t>삼양</t>
    <phoneticPr fontId="3" type="noConversion"/>
  </si>
  <si>
    <t>천재</t>
    <phoneticPr fontId="3" type="noConversion"/>
  </si>
  <si>
    <t>금성</t>
    <phoneticPr fontId="3" type="noConversion"/>
  </si>
  <si>
    <t>남/사립</t>
    <phoneticPr fontId="3" type="noConversion"/>
  </si>
  <si>
    <t>미선정</t>
    <phoneticPr fontId="3" type="noConversion"/>
  </si>
  <si>
    <t>선정중</t>
    <phoneticPr fontId="3" type="noConversion"/>
  </si>
  <si>
    <t>남,여/사립</t>
    <phoneticPr fontId="3" type="noConversion"/>
  </si>
  <si>
    <t>지학사</t>
    <phoneticPr fontId="3" type="noConversion"/>
  </si>
  <si>
    <t>상신중</t>
    <phoneticPr fontId="3" type="noConversion"/>
  </si>
  <si>
    <t>씨마스</t>
    <phoneticPr fontId="3" type="noConversion"/>
  </si>
  <si>
    <t>동아</t>
    <phoneticPr fontId="3" type="noConversion"/>
  </si>
  <si>
    <t>가재울중</t>
    <phoneticPr fontId="3" type="noConversion"/>
  </si>
  <si>
    <t>교학사</t>
    <phoneticPr fontId="3" type="noConversion"/>
  </si>
  <si>
    <t>마포</t>
    <phoneticPr fontId="3" type="noConversion"/>
  </si>
  <si>
    <t>비상</t>
    <phoneticPr fontId="3" type="noConversion"/>
  </si>
  <si>
    <t>미래엔</t>
    <phoneticPr fontId="3" type="noConversion"/>
  </si>
  <si>
    <t>이오</t>
    <phoneticPr fontId="3" type="noConversion"/>
  </si>
  <si>
    <t>다락원</t>
    <phoneticPr fontId="3" type="noConversion"/>
  </si>
  <si>
    <t>*보건: 천재</t>
    <phoneticPr fontId="3" type="noConversion"/>
  </si>
  <si>
    <t>성사중</t>
    <phoneticPr fontId="3" type="noConversion"/>
  </si>
  <si>
    <t>경성중</t>
    <phoneticPr fontId="3" type="noConversion"/>
  </si>
  <si>
    <t>성산중</t>
    <phoneticPr fontId="3" type="noConversion"/>
  </si>
  <si>
    <t>신수중</t>
    <phoneticPr fontId="3" type="noConversion"/>
  </si>
  <si>
    <t>와이비엠</t>
    <phoneticPr fontId="3" type="noConversion"/>
  </si>
  <si>
    <t>동도중</t>
    <phoneticPr fontId="3" type="noConversion"/>
  </si>
  <si>
    <t>창비</t>
    <phoneticPr fontId="3" type="noConversion"/>
  </si>
  <si>
    <t>서울여중</t>
    <phoneticPr fontId="3" type="noConversion"/>
  </si>
  <si>
    <t>김옥이</t>
    <phoneticPr fontId="3" type="noConversion"/>
  </si>
  <si>
    <t>전승</t>
    <phoneticPr fontId="3" type="noConversion"/>
  </si>
  <si>
    <t>*정보: 학자시자료가 나왔냐고 관심 보이셨고 업무상으로 바쁘니 검토해 보겠다고 하시고 자료 다 받아주심, 단톡방은 이미 가입되어 있고 안내 잘 받고 있는 상태</t>
    <phoneticPr fontId="3" type="noConversion"/>
  </si>
  <si>
    <t>*진로: 제공해드린 자료 중 고교 입학전형과 현황 자료집에 관심을 보이시며 약 140명정도 인데 구입이 가능하냐고 물어서 판매용이 아니고 홍보용이며 재고가 어느정도 있는지</t>
    <phoneticPr fontId="3" type="noConversion"/>
  </si>
  <si>
    <t xml:space="preserve"> 확인 후 판매나 무상제공 여부 판단해서 알려 드리겠다고 말씀드림, 진로체험워크북의 경우 내용은 씨마스가 좋은데 책의 형태는 이오미디어가 좋음, 워크북 뒤에 파일링이 가능</t>
    <phoneticPr fontId="3" type="noConversion"/>
  </si>
  <si>
    <t>비상</t>
    <phoneticPr fontId="3" type="noConversion"/>
  </si>
  <si>
    <t xml:space="preserve"> 하게 구성되어 있어서 학생들의 자료관리가 잘 이루어 지고 편하며 자유학기 진로탐색 시간에 활용 가능함, 특이하게 해당학교는 2022과정 교과서를 1,2학년 각각 사용함  </t>
    <phoneticPr fontId="3" type="noConversion"/>
  </si>
  <si>
    <t xml:space="preserve"> 방문이후 확인결과 2학년 비상은 15과정 교과서이나 교과 편성은 계속 1,2학년 동시 채택되어 있었음</t>
    <phoneticPr fontId="3" type="noConversion"/>
  </si>
  <si>
    <t>황민아</t>
    <phoneticPr fontId="3" type="noConversion"/>
  </si>
  <si>
    <t>김용규</t>
    <phoneticPr fontId="3" type="noConversion"/>
  </si>
  <si>
    <t>차정민</t>
    <phoneticPr fontId="3" type="noConversion"/>
  </si>
  <si>
    <t>*정보: 자료제공 했고 학자시의 경우 내년부터 사용한다고 하심, 5권 모두 택배로 7월초에 보내줄 수 있냐고 해서 가능하다고 말씀드렸고 택배 or 직접배송 해드릴 예정</t>
    <phoneticPr fontId="3" type="noConversion"/>
  </si>
  <si>
    <t>*보건: 현재 보건 수업중이며 자료는 잘 받아주심, 교과서 검토시 긍정적 검토 요청드림</t>
    <phoneticPr fontId="3" type="noConversion"/>
  </si>
  <si>
    <t>유나영</t>
    <phoneticPr fontId="3" type="noConversion"/>
  </si>
  <si>
    <t>변현정</t>
    <phoneticPr fontId="3" type="noConversion"/>
  </si>
  <si>
    <t>하요한</t>
    <phoneticPr fontId="3" type="noConversion"/>
  </si>
  <si>
    <t>윤혜승</t>
    <phoneticPr fontId="3" type="noConversion"/>
  </si>
  <si>
    <t xml:space="preserve">*정보: 학기초에 기존 자료는 다 받았고 새로나온 활동북, 포스터 중 포스터는 필요없다고 안 받으심, 단톡방은 가입되어 있어서 안내 받고 있고 학자시는 2학기에 인공지능과 </t>
    <phoneticPr fontId="3" type="noConversion"/>
  </si>
  <si>
    <t xml:space="preserve"> 미래사회 이미 선정되어 있다고 하심</t>
    <phoneticPr fontId="3" type="noConversion"/>
  </si>
  <si>
    <t>*진로: 자료 잘 받아주시고 단톡방 설명드림, 가입을 원하셔서 연락처 확보하여 링크 공유드림</t>
    <phoneticPr fontId="3" type="noConversion"/>
  </si>
  <si>
    <t>*보건: 1학기에만 17차시 수업하고 있으며 씨마스에서도 보건 교과서가 나오는지는 모르는 상태여서 티칭샘과 더불어 안내해드림</t>
    <phoneticPr fontId="3" type="noConversion"/>
  </si>
  <si>
    <t>보건:씨마스</t>
    <phoneticPr fontId="3" type="noConversion"/>
  </si>
  <si>
    <t>김재남</t>
    <phoneticPr fontId="3" type="noConversion"/>
  </si>
  <si>
    <t>김한결</t>
    <phoneticPr fontId="3" type="noConversion"/>
  </si>
  <si>
    <t>손의나</t>
    <phoneticPr fontId="3" type="noConversion"/>
  </si>
  <si>
    <t>이효은</t>
    <phoneticPr fontId="3" type="noConversion"/>
  </si>
  <si>
    <t>*정보: 자료만 받으셨고 단톡방도 필요시 연락주겠다고만 하심</t>
    <phoneticPr fontId="3" type="noConversion"/>
  </si>
  <si>
    <t>*보건: 자사교과서 채택에 감사드렸고 보건수업은 2학기에만 있다고 하심, 내용적으로 성교육과 응급처치에 대한 부분이 더 많은 내용이 있었으면 좋겠다고 하시고 보충을 위해</t>
    <phoneticPr fontId="3" type="noConversion"/>
  </si>
  <si>
    <t xml:space="preserve"> 단행본들도 더 구매해서 참고하는 상황임, 수업음 17차시만 배정됨</t>
    <phoneticPr fontId="3" type="noConversion"/>
  </si>
  <si>
    <t>중암중</t>
    <phoneticPr fontId="3" type="noConversion"/>
  </si>
  <si>
    <t>순회</t>
    <phoneticPr fontId="3" type="noConversion"/>
  </si>
  <si>
    <t>이선아</t>
    <phoneticPr fontId="3" type="noConversion"/>
  </si>
  <si>
    <t>이지영</t>
    <phoneticPr fontId="3" type="noConversion"/>
  </si>
  <si>
    <t>최지윤</t>
    <phoneticPr fontId="3" type="noConversion"/>
  </si>
  <si>
    <t>*정보: 순회선생님이며 주 1회만 수업나오심, 황도영 정보부장에게 자료전달 했고 전달해 주겠다고 하심</t>
    <phoneticPr fontId="3" type="noConversion"/>
  </si>
  <si>
    <t>*진로: 씨마스에서 왔다고 하니 비상하고 끝까지 고민하던 교과서였다고 하셨고 비상을 선택한 이유를 물어보니 시각적으로 비상이 학생들입장에서 재미있게 받아들일 수 있어</t>
    <phoneticPr fontId="3" type="noConversion"/>
  </si>
  <si>
    <t xml:space="preserve"> 보였고 활동요소도 다양하게 활용가능한 부분이 비상이 많았음, 교과서 외적으로는 전자칠판 활용도가 높은 시스템이 비상이 좋았음</t>
    <phoneticPr fontId="3" type="noConversion"/>
  </si>
  <si>
    <t>김선미</t>
    <phoneticPr fontId="3" type="noConversion"/>
  </si>
  <si>
    <t>이윤희</t>
    <phoneticPr fontId="3" type="noConversion"/>
  </si>
  <si>
    <t>*정보: 올해 정보교과가 없어서 선생님 없음</t>
    <phoneticPr fontId="3" type="noConversion"/>
  </si>
  <si>
    <t>*보건: 2학기에 수업하며 교과서는 천재임, 자료는 잘 받아주심</t>
    <phoneticPr fontId="3" type="noConversion"/>
  </si>
  <si>
    <t>송명원</t>
    <phoneticPr fontId="3" type="noConversion"/>
  </si>
  <si>
    <t>김현주</t>
    <phoneticPr fontId="3" type="noConversion"/>
  </si>
  <si>
    <t>곽승아</t>
    <phoneticPr fontId="3" type="noConversion"/>
  </si>
  <si>
    <t>김선우</t>
    <phoneticPr fontId="3" type="noConversion"/>
  </si>
  <si>
    <t>*정보: 자료전달 및 단톡방 안내했음, 학자시는 인공지능과 미래사회 선택해서 수업하고 있다고 하심</t>
    <phoneticPr fontId="3" type="noConversion"/>
  </si>
  <si>
    <t>*진로, 미술, 보건: 자료만 전달되었고 특이사항 없음</t>
    <phoneticPr fontId="3" type="noConversion"/>
  </si>
  <si>
    <t>김동욱</t>
    <phoneticPr fontId="3" type="noConversion"/>
  </si>
  <si>
    <t>정한라</t>
    <phoneticPr fontId="3" type="noConversion"/>
  </si>
  <si>
    <t>한글이</t>
    <phoneticPr fontId="3" type="noConversion"/>
  </si>
  <si>
    <t>이진화</t>
    <phoneticPr fontId="3" type="noConversion"/>
  </si>
  <si>
    <t>*정보: 자료만 받으셨고 현재 학자시와 디교는 해당사항이 없다고 하심, 단톡방 링크 공유드렸고 들어와 보시기를 요청드림</t>
    <phoneticPr fontId="3" type="noConversion"/>
  </si>
  <si>
    <t>*진로: 자료 중 진로탐색워크북 최신자료라 좋다고 평가하셨고 단톡방도 안내받길 원하셔서 링크공유함</t>
    <phoneticPr fontId="3" type="noConversion"/>
  </si>
  <si>
    <t>*보건: 학교에서 교과서 관련 자료는 받지말라고 말이 많다고 안받으려 하심, 교과서와 상관없는 포스터라도 받으시라고 했지만 다 거절하심</t>
    <phoneticPr fontId="3" type="noConversion"/>
  </si>
  <si>
    <t>최지연</t>
    <phoneticPr fontId="3" type="noConversion"/>
  </si>
  <si>
    <t>*각 선생님들께 자료 전달했고 특이사항 없음</t>
    <phoneticPr fontId="3" type="noConversion"/>
  </si>
  <si>
    <t>*보건: 교과수업 17차시와 창체까지 수업하신다고 함, 교과서 선정시 긍정 검토 요청드리며 포스터, 자료집 제공함</t>
    <phoneticPr fontId="3" type="noConversion"/>
  </si>
  <si>
    <t>김연희</t>
    <phoneticPr fontId="3" type="noConversion"/>
  </si>
  <si>
    <t>곽동준</t>
    <phoneticPr fontId="3" type="noConversion"/>
  </si>
  <si>
    <t>황윤경</t>
    <phoneticPr fontId="3" type="noConversion"/>
  </si>
  <si>
    <t>*정보: 자료는 교과서 교사용만 제외하고 나머지는 다 받아주심, 단톡방안내 및 교과서 장점 언급하며 잘 검토해주시길 요청드림, 교육정보부 부장선생님임</t>
    <phoneticPr fontId="3" type="noConversion"/>
  </si>
  <si>
    <t>*진로: 자료만 받으심</t>
    <phoneticPr fontId="3" type="noConversion"/>
  </si>
  <si>
    <t>*미술: 자료수령 거부하셔서 제공 못함</t>
    <phoneticPr fontId="3" type="noConversion"/>
  </si>
  <si>
    <t>*보건: 보건 교과서 올해 선정 예정이라고 하시며 자료는 안 받으려고 하심, 교과서와 상관없는 자료이며 보시고 문제가 생길것 같으면 폐기하셔도 된다고 말씀드리니 받아주심</t>
    <phoneticPr fontId="3" type="noConversion"/>
  </si>
  <si>
    <t>석명건</t>
    <phoneticPr fontId="3" type="noConversion"/>
  </si>
  <si>
    <t>도성제</t>
    <phoneticPr fontId="3" type="noConversion"/>
  </si>
  <si>
    <t>윤지연</t>
    <phoneticPr fontId="3" type="noConversion"/>
  </si>
  <si>
    <t>*미술: 창의체험부 소속 선생님으로 자료만 받으심</t>
    <phoneticPr fontId="3" type="noConversion"/>
  </si>
  <si>
    <t>*보건: 3학년에서 수업중이며 내년 학교이동 예정이라 본인이 선택하지는 않을 것 같다고 하심, 자료는 잘 받아주심</t>
    <phoneticPr fontId="3" type="noConversion"/>
  </si>
  <si>
    <t xml:space="preserve"> -학교자율시간 정보 교과서 영업</t>
    <phoneticPr fontId="3" type="noConversion"/>
  </si>
  <si>
    <t xml:space="preserve">  *현재 일부학교에서 교과서 리스트 공유되어 검토중, 검토중인 선생님들께 샘플북 제공은 효과적인 반응</t>
    <phoneticPr fontId="3" type="noConversion"/>
  </si>
  <si>
    <t xml:space="preserve">     -정보의 경우 학자시 샘플북 제공을 통해 정보교과서와 상관없이 홍보활동 진행, 일부 관심있는 선생님께 샘플북 긍정효과</t>
    <phoneticPr fontId="3" type="noConversion"/>
  </si>
  <si>
    <t xml:space="preserve">     -진로워크북 중 이오미디어 진로 포트폴리오 워크북 선호하시는 선생님 미팅-&gt; 최근 사용빈도 높은것으로 보임</t>
    <phoneticPr fontId="3" type="noConversion"/>
  </si>
  <si>
    <t xml:space="preserve">     -보건은 선정학교에서 보완해야 할 사항 체크-&gt; 응급처치, 성교육 분량이 더 많아야함</t>
    <phoneticPr fontId="3" type="noConversion"/>
  </si>
  <si>
    <t xml:space="preserve">   *미술: 큐레이션북, 도서목록(티칭샘 안내용)</t>
    <phoneticPr fontId="3" type="noConversion"/>
  </si>
  <si>
    <t xml:space="preserve"> -정보,진로 워크북 및 교구판매 영업 교구관련 자료 제공하여 미선정 영업과 동시에 진행(풍동고 정보교구 30세트)</t>
    <phoneticPr fontId="3" type="noConversion"/>
  </si>
  <si>
    <t xml:space="preserve"> -진로 씨마스 교과서 채택학교 워크북 무상지원: 미선정학교 방문시 활동이 적극적인 선생님 대상으로 영업도구로 활용</t>
    <phoneticPr fontId="3" type="noConversion"/>
  </si>
  <si>
    <t>본사(영업팀회의)상계중, 중계중</t>
    <phoneticPr fontId="3" type="noConversion"/>
  </si>
  <si>
    <t>본사, 노원</t>
    <phoneticPr fontId="3" type="noConversion"/>
  </si>
  <si>
    <t>전동중, 휘경여중, 상봉중, 신현중, 영란여중</t>
    <phoneticPr fontId="3" type="noConversion"/>
  </si>
  <si>
    <t>동대문,중랑</t>
    <phoneticPr fontId="3" type="noConversion"/>
  </si>
  <si>
    <t>원묵중, 중화중, 중랑중, 혜원여중, 장안중</t>
    <phoneticPr fontId="3" type="noConversion"/>
  </si>
  <si>
    <t>중랑</t>
    <phoneticPr fontId="3" type="noConversion"/>
  </si>
  <si>
    <t>광장중, 광진중, 경일중, 무학중, 성원중</t>
    <phoneticPr fontId="3" type="noConversion"/>
  </si>
  <si>
    <t>광진, 성동</t>
    <phoneticPr fontId="3" type="noConversion"/>
  </si>
  <si>
    <t>행당중, 마장중, 한대부중, 단대부중, 대왕중</t>
    <phoneticPr fontId="3" type="noConversion"/>
  </si>
  <si>
    <t>성동, 강남</t>
    <phoneticPr fontId="3" type="noConversion"/>
  </si>
  <si>
    <t>본사(영업팀회의)창북중, 도봉중</t>
    <phoneticPr fontId="3" type="noConversion"/>
  </si>
  <si>
    <t>본사, 도봉</t>
    <phoneticPr fontId="3" type="noConversion"/>
  </si>
  <si>
    <t>갈매중, 구리중, 장자중, 인창중, 다산중</t>
    <phoneticPr fontId="3" type="noConversion"/>
  </si>
  <si>
    <t>구리</t>
    <phoneticPr fontId="3" type="noConversion"/>
  </si>
  <si>
    <t>마석중, 미금중, 송라중, 장내중, 판곡중</t>
    <phoneticPr fontId="3" type="noConversion"/>
  </si>
  <si>
    <t>남양주</t>
    <phoneticPr fontId="3" type="noConversion"/>
  </si>
  <si>
    <t>구미중, 낙원중, 보평중, 삼평중, 운중중</t>
    <phoneticPr fontId="3" type="noConversion"/>
  </si>
  <si>
    <t>판교중, 태평중, 대원중, 성남동중, 영성중</t>
    <phoneticPr fontId="3" type="noConversion"/>
  </si>
  <si>
    <t>성남</t>
    <phoneticPr fontId="3" type="noConversion"/>
  </si>
  <si>
    <t>성남</t>
    <phoneticPr fontId="3" type="noConversion"/>
  </si>
  <si>
    <t>*정보, 진로, 보건: 포스터 및 자료전달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</si>
</sst>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mm&quot;월&quot;\ dd&quot;일&quot;"/>
    <numFmt numFmtId="177" formatCode="0_);[Red]\(0\)"/>
  </numFmts>
  <fonts count="5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2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b/>
      <sz val="14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6"/>
      <color rgb="FF00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7030A0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1"/>
      <color rgb="FFC00000"/>
      <name val="맑은 고딕"/>
      <family val="2"/>
      <charset val="129"/>
      <scheme val="minor"/>
    </font>
    <font>
      <b/>
      <sz val="11"/>
      <color rgb="FF7030A0"/>
      <name val="맑은 고딕"/>
      <family val="3"/>
      <charset val="129"/>
      <scheme val="minor"/>
    </font>
    <font>
      <sz val="11"/>
      <color rgb="FFC00000"/>
      <name val="맑은 고딕"/>
      <family val="3"/>
      <charset val="129"/>
      <scheme val="minor"/>
    </font>
    <font>
      <sz val="11"/>
      <color rgb="FF0000FF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8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sz val="11"/>
      <color rgb="FF006100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rgb="FF006100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b/>
      <sz val="8"/>
      <color rgb="FF9C65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9"/>
      </patternFill>
    </fill>
    <fill>
      <patternFill patternType="solid">
        <fgColor theme="3" tint="0.59999389629810485"/>
        <bgColor indexed="64"/>
      </patternFill>
    </fill>
  </fills>
  <borders count="7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rgb="FFC00000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medium">
        <color rgb="FFC00000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rgb="FFC00000"/>
      </top>
      <bottom style="thin">
        <color indexed="64"/>
      </bottom>
      <diagonal/>
    </border>
    <border>
      <left/>
      <right style="thin">
        <color indexed="64"/>
      </right>
      <top style="medium">
        <color rgb="FFC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C00000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rgb="FFC00000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rgb="FFC00000"/>
      </bottom>
      <diagonal/>
    </border>
    <border>
      <left/>
      <right style="thin">
        <color indexed="64"/>
      </right>
      <top style="thin">
        <color indexed="64"/>
      </top>
      <bottom style="medium">
        <color rgb="FFC00000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/>
      <top style="medium">
        <color rgb="FFFF0000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medium">
        <color rgb="FFFF0000"/>
      </top>
      <bottom style="thin">
        <color indexed="64"/>
      </bottom>
      <diagonal/>
    </border>
    <border>
      <left/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medium">
        <color rgb="FFFF0000"/>
      </top>
      <bottom style="thin">
        <color indexed="64"/>
      </bottom>
      <diagonal/>
    </border>
  </borders>
  <cellStyleXfs count="26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8" fillId="0" borderId="0"/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/>
    <xf numFmtId="0" fontId="1" fillId="0" borderId="0">
      <alignment vertical="center"/>
    </xf>
    <xf numFmtId="0" fontId="12" fillId="0" borderId="0"/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57" fillId="14" borderId="0" applyNumberFormat="0" applyBorder="0" applyAlignment="0" applyProtection="0">
      <alignment vertical="center"/>
    </xf>
  </cellStyleXfs>
  <cellXfs count="524">
    <xf numFmtId="0" fontId="0" fillId="0" borderId="0" xfId="0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0" fillId="5" borderId="0" xfId="0" applyFill="1">
      <alignment vertical="center"/>
    </xf>
    <xf numFmtId="0" fontId="5" fillId="0" borderId="0" xfId="0" applyFont="1">
      <alignment vertical="center"/>
    </xf>
    <xf numFmtId="0" fontId="5" fillId="0" borderId="8" xfId="0" applyFont="1" applyBorder="1" applyAlignment="1">
      <alignment horizontal="center" vertical="center"/>
    </xf>
    <xf numFmtId="0" fontId="9" fillId="4" borderId="9" xfId="1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5" borderId="0" xfId="0" applyFont="1" applyFill="1">
      <alignment vertical="center"/>
    </xf>
    <xf numFmtId="0" fontId="9" fillId="0" borderId="4" xfId="0" applyFont="1" applyBorder="1" applyAlignment="1">
      <alignment horizontal="center" vertical="center"/>
    </xf>
    <xf numFmtId="176" fontId="9" fillId="0" borderId="4" xfId="0" applyNumberFormat="1" applyFont="1" applyBorder="1" applyAlignment="1">
      <alignment horizontal="center" vertical="center"/>
    </xf>
    <xf numFmtId="0" fontId="1" fillId="0" borderId="0" xfId="12">
      <alignment vertical="center"/>
    </xf>
    <xf numFmtId="0" fontId="15" fillId="0" borderId="10" xfId="8" applyFont="1" applyBorder="1" applyAlignment="1">
      <alignment vertical="center"/>
    </xf>
    <xf numFmtId="0" fontId="15" fillId="0" borderId="15" xfId="8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12" fillId="0" borderId="0" xfId="8"/>
    <xf numFmtId="0" fontId="17" fillId="0" borderId="5" xfId="8" applyFont="1" applyBorder="1" applyAlignment="1">
      <alignment horizontal="left" vertical="center"/>
    </xf>
    <xf numFmtId="0" fontId="16" fillId="0" borderId="5" xfId="8" applyFont="1" applyBorder="1" applyAlignment="1">
      <alignment horizontal="left" vertical="center"/>
    </xf>
    <xf numFmtId="0" fontId="7" fillId="0" borderId="6" xfId="12" applyFont="1" applyBorder="1">
      <alignment vertical="center"/>
    </xf>
    <xf numFmtId="0" fontId="7" fillId="0" borderId="7" xfId="12" applyFont="1" applyBorder="1">
      <alignment vertical="center"/>
    </xf>
    <xf numFmtId="0" fontId="7" fillId="0" borderId="5" xfId="12" applyFont="1" applyBorder="1" applyAlignment="1">
      <alignment horizontal="left" vertical="center"/>
    </xf>
    <xf numFmtId="0" fontId="18" fillId="0" borderId="6" xfId="12" applyFont="1" applyBorder="1" applyAlignment="1">
      <alignment horizontal="left" vertical="center"/>
    </xf>
    <xf numFmtId="0" fontId="18" fillId="0" borderId="7" xfId="12" applyFont="1" applyBorder="1" applyAlignment="1">
      <alignment horizontal="left" vertical="center"/>
    </xf>
    <xf numFmtId="0" fontId="19" fillId="0" borderId="4" xfId="0" applyFont="1" applyBorder="1" applyAlignment="1">
      <alignment horizontal="center" vertical="center"/>
    </xf>
    <xf numFmtId="176" fontId="19" fillId="0" borderId="4" xfId="0" applyNumberFormat="1" applyFont="1" applyBorder="1" applyAlignment="1">
      <alignment horizontal="center" vertical="center"/>
    </xf>
    <xf numFmtId="0" fontId="20" fillId="0" borderId="0" xfId="12" applyFont="1">
      <alignment vertical="center"/>
    </xf>
    <xf numFmtId="0" fontId="0" fillId="0" borderId="0" xfId="0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 shrinkToFit="1"/>
    </xf>
    <xf numFmtId="0" fontId="11" fillId="0" borderId="4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22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0" fontId="6" fillId="10" borderId="20" xfId="0" applyFont="1" applyFill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9" fontId="11" fillId="0" borderId="4" xfId="18" applyFont="1" applyBorder="1" applyAlignment="1">
      <alignment horizontal="center" vertical="center"/>
    </xf>
    <xf numFmtId="0" fontId="5" fillId="0" borderId="4" xfId="18" applyNumberFormat="1" applyFont="1" applyBorder="1" applyAlignment="1">
      <alignment horizontal="center" vertical="center"/>
    </xf>
    <xf numFmtId="9" fontId="5" fillId="10" borderId="4" xfId="18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 shrinkToFit="1"/>
    </xf>
    <xf numFmtId="0" fontId="11" fillId="0" borderId="4" xfId="19" applyFont="1" applyBorder="1" applyAlignment="1">
      <alignment horizontal="center" vertical="center"/>
    </xf>
    <xf numFmtId="9" fontId="5" fillId="10" borderId="20" xfId="18" applyFont="1" applyFill="1" applyBorder="1" applyAlignment="1">
      <alignment horizontal="center" vertical="center"/>
    </xf>
    <xf numFmtId="0" fontId="5" fillId="10" borderId="30" xfId="17" applyNumberFormat="1" applyFont="1" applyFill="1" applyBorder="1" applyAlignment="1">
      <alignment horizontal="center" vertical="center"/>
    </xf>
    <xf numFmtId="9" fontId="11" fillId="11" borderId="4" xfId="18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12" borderId="26" xfId="0" applyFill="1" applyBorder="1" applyAlignment="1">
      <alignment horizontal="center" vertical="center"/>
    </xf>
    <xf numFmtId="0" fontId="0" fillId="12" borderId="20" xfId="0" applyFill="1" applyBorder="1" applyAlignment="1">
      <alignment horizontal="center" vertical="center"/>
    </xf>
    <xf numFmtId="0" fontId="6" fillId="12" borderId="20" xfId="0" applyFont="1" applyFill="1" applyBorder="1" applyAlignment="1">
      <alignment horizontal="center" vertical="center"/>
    </xf>
    <xf numFmtId="0" fontId="0" fillId="8" borderId="31" xfId="0" applyFill="1" applyBorder="1" applyAlignment="1">
      <alignment horizontal="center" vertical="center" shrinkToFit="1"/>
    </xf>
    <xf numFmtId="0" fontId="0" fillId="8" borderId="25" xfId="0" applyFill="1" applyBorder="1" applyAlignment="1">
      <alignment horizontal="center" vertical="center" shrinkToFit="1"/>
    </xf>
    <xf numFmtId="0" fontId="0" fillId="8" borderId="32" xfId="0" applyFill="1" applyBorder="1" applyAlignment="1">
      <alignment horizontal="center" vertical="center" shrinkToFit="1"/>
    </xf>
    <xf numFmtId="0" fontId="0" fillId="12" borderId="27" xfId="0" applyFill="1" applyBorder="1" applyAlignment="1">
      <alignment horizontal="center" vertical="center" shrinkToFit="1"/>
    </xf>
    <xf numFmtId="0" fontId="0" fillId="12" borderId="20" xfId="0" applyFill="1" applyBorder="1" applyAlignment="1">
      <alignment horizontal="center" vertical="center" shrinkToFit="1"/>
    </xf>
    <xf numFmtId="0" fontId="0" fillId="7" borderId="20" xfId="0" applyFill="1" applyBorder="1" applyAlignment="1">
      <alignment horizontal="center" vertical="center" shrinkToFit="1"/>
    </xf>
    <xf numFmtId="0" fontId="24" fillId="4" borderId="20" xfId="0" applyFont="1" applyFill="1" applyBorder="1" applyAlignment="1">
      <alignment horizontal="center" vertical="center" shrinkToFit="1"/>
    </xf>
    <xf numFmtId="0" fontId="0" fillId="6" borderId="20" xfId="0" applyFill="1" applyBorder="1" applyAlignment="1">
      <alignment horizontal="center" vertical="center" shrinkToFit="1"/>
    </xf>
    <xf numFmtId="0" fontId="25" fillId="0" borderId="4" xfId="0" applyFont="1" applyBorder="1" applyAlignment="1">
      <alignment horizontal="center" vertical="center"/>
    </xf>
    <xf numFmtId="0" fontId="21" fillId="0" borderId="4" xfId="0" applyFont="1" applyBorder="1">
      <alignment vertical="center"/>
    </xf>
    <xf numFmtId="0" fontId="21" fillId="0" borderId="4" xfId="0" applyFont="1" applyBorder="1" applyAlignment="1">
      <alignment horizontal="center" vertical="center"/>
    </xf>
    <xf numFmtId="0" fontId="24" fillId="0" borderId="33" xfId="0" applyFont="1" applyBorder="1" applyAlignment="1">
      <alignment horizontal="center" vertical="center" shrinkToFit="1"/>
    </xf>
    <xf numFmtId="0" fontId="26" fillId="8" borderId="4" xfId="0" applyFont="1" applyFill="1" applyBorder="1" applyAlignment="1">
      <alignment horizontal="center" vertical="center" shrinkToFit="1"/>
    </xf>
    <xf numFmtId="0" fontId="24" fillId="0" borderId="4" xfId="0" applyFont="1" applyBorder="1" applyAlignment="1">
      <alignment horizontal="center" vertical="center" shrinkToFit="1"/>
    </xf>
    <xf numFmtId="0" fontId="24" fillId="0" borderId="34" xfId="0" applyFont="1" applyBorder="1" applyAlignment="1">
      <alignment horizontal="center" vertical="center" shrinkToFit="1"/>
    </xf>
    <xf numFmtId="0" fontId="0" fillId="0" borderId="7" xfId="0" applyBorder="1" applyAlignment="1">
      <alignment vertical="center" shrinkToFit="1"/>
    </xf>
    <xf numFmtId="0" fontId="28" fillId="3" borderId="4" xfId="0" applyFont="1" applyFill="1" applyBorder="1" applyAlignment="1">
      <alignment vertical="center" shrinkToFit="1"/>
    </xf>
    <xf numFmtId="0" fontId="29" fillId="8" borderId="4" xfId="0" applyFont="1" applyFill="1" applyBorder="1" applyAlignment="1">
      <alignment vertical="center" shrinkToFit="1"/>
    </xf>
    <xf numFmtId="0" fontId="24" fillId="0" borderId="4" xfId="0" applyFont="1" applyBorder="1" applyAlignment="1">
      <alignment horizontal="left" vertical="center" shrinkToFit="1"/>
    </xf>
    <xf numFmtId="0" fontId="0" fillId="0" borderId="4" xfId="0" applyBorder="1" applyAlignment="1">
      <alignment vertical="center" shrinkToFit="1"/>
    </xf>
    <xf numFmtId="0" fontId="24" fillId="8" borderId="4" xfId="0" applyFont="1" applyFill="1" applyBorder="1" applyAlignment="1">
      <alignment horizontal="center" vertical="center" shrinkToFit="1"/>
    </xf>
    <xf numFmtId="0" fontId="28" fillId="0" borderId="4" xfId="0" applyFont="1" applyBorder="1" applyAlignment="1">
      <alignment vertical="center" shrinkToFit="1"/>
    </xf>
    <xf numFmtId="0" fontId="24" fillId="0" borderId="5" xfId="0" applyFont="1" applyBorder="1" applyAlignment="1">
      <alignment horizontal="center" vertical="center" shrinkToFit="1"/>
    </xf>
    <xf numFmtId="0" fontId="0" fillId="11" borderId="4" xfId="0" applyFill="1" applyBorder="1" applyAlignment="1">
      <alignment horizontal="center" vertical="center" shrinkToFit="1"/>
    </xf>
    <xf numFmtId="0" fontId="21" fillId="8" borderId="4" xfId="0" applyFont="1" applyFill="1" applyBorder="1" applyAlignment="1">
      <alignment horizontal="center" vertical="center"/>
    </xf>
    <xf numFmtId="0" fontId="28" fillId="8" borderId="4" xfId="0" applyFont="1" applyFill="1" applyBorder="1" applyAlignment="1">
      <alignment vertical="center" shrinkToFit="1"/>
    </xf>
    <xf numFmtId="0" fontId="0" fillId="0" borderId="33" xfId="0" applyBorder="1" applyAlignment="1">
      <alignment horizontal="center" vertical="center"/>
    </xf>
    <xf numFmtId="0" fontId="25" fillId="0" borderId="7" xfId="0" applyFont="1" applyBorder="1" applyAlignment="1">
      <alignment vertical="center" shrinkToFit="1"/>
    </xf>
    <xf numFmtId="0" fontId="0" fillId="0" borderId="5" xfId="0" applyBorder="1" applyAlignment="1">
      <alignment horizontal="center" vertical="center"/>
    </xf>
    <xf numFmtId="0" fontId="0" fillId="11" borderId="33" xfId="0" applyFill="1" applyBorder="1" applyAlignment="1">
      <alignment horizontal="center" vertical="center" shrinkToFit="1"/>
    </xf>
    <xf numFmtId="0" fontId="0" fillId="0" borderId="20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25" fillId="0" borderId="35" xfId="0" applyFont="1" applyBorder="1" applyAlignment="1">
      <alignment horizontal="center" vertical="center"/>
    </xf>
    <xf numFmtId="0" fontId="21" fillId="0" borderId="35" xfId="0" applyFont="1" applyBorder="1">
      <alignment vertical="center"/>
    </xf>
    <xf numFmtId="0" fontId="21" fillId="0" borderId="35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11" borderId="35" xfId="0" applyFill="1" applyBorder="1" applyAlignment="1">
      <alignment horizontal="center" vertical="center" shrinkToFit="1"/>
    </xf>
    <xf numFmtId="0" fontId="24" fillId="0" borderId="37" xfId="0" applyFont="1" applyBorder="1" applyAlignment="1">
      <alignment horizontal="center" vertical="center" shrinkToFit="1"/>
    </xf>
    <xf numFmtId="0" fontId="0" fillId="0" borderId="38" xfId="0" applyBorder="1" applyAlignment="1">
      <alignment vertical="center" shrinkToFit="1"/>
    </xf>
    <xf numFmtId="0" fontId="28" fillId="0" borderId="35" xfId="0" applyFont="1" applyBorder="1" applyAlignment="1">
      <alignment vertical="center" shrinkToFit="1"/>
    </xf>
    <xf numFmtId="0" fontId="0" fillId="0" borderId="35" xfId="0" applyBorder="1" applyAlignment="1">
      <alignment vertical="center" shrinkToFit="1"/>
    </xf>
    <xf numFmtId="0" fontId="24" fillId="0" borderId="35" xfId="0" applyFont="1" applyBorder="1" applyAlignment="1">
      <alignment horizontal="left" vertical="center" shrinkToFit="1"/>
    </xf>
    <xf numFmtId="0" fontId="30" fillId="0" borderId="4" xfId="0" applyFont="1" applyBorder="1" applyAlignment="1">
      <alignment horizontal="center" vertical="center"/>
    </xf>
    <xf numFmtId="0" fontId="31" fillId="8" borderId="4" xfId="0" applyFont="1" applyFill="1" applyBorder="1" applyAlignment="1">
      <alignment vertical="center" shrinkToFit="1"/>
    </xf>
    <xf numFmtId="0" fontId="24" fillId="8" borderId="33" xfId="0" applyFont="1" applyFill="1" applyBorder="1" applyAlignment="1">
      <alignment horizontal="center" vertical="center" shrinkToFit="1"/>
    </xf>
    <xf numFmtId="0" fontId="25" fillId="0" borderId="39" xfId="0" applyFont="1" applyBorder="1" applyAlignment="1">
      <alignment horizontal="center" vertical="center"/>
    </xf>
    <xf numFmtId="0" fontId="21" fillId="0" borderId="39" xfId="0" applyFont="1" applyBorder="1">
      <alignment vertical="center"/>
    </xf>
    <xf numFmtId="0" fontId="21" fillId="0" borderId="39" xfId="0" applyFont="1" applyBorder="1" applyAlignment="1">
      <alignment horizontal="center" vertical="center"/>
    </xf>
    <xf numFmtId="0" fontId="24" fillId="0" borderId="40" xfId="0" applyFont="1" applyBorder="1" applyAlignment="1">
      <alignment horizontal="center" vertical="center" shrinkToFit="1"/>
    </xf>
    <xf numFmtId="0" fontId="24" fillId="0" borderId="39" xfId="0" applyFont="1" applyBorder="1" applyAlignment="1">
      <alignment horizontal="center" vertical="center" shrinkToFit="1"/>
    </xf>
    <xf numFmtId="0" fontId="24" fillId="8" borderId="39" xfId="0" applyFont="1" applyFill="1" applyBorder="1" applyAlignment="1">
      <alignment horizontal="center" vertical="center" shrinkToFit="1"/>
    </xf>
    <xf numFmtId="0" fontId="24" fillId="0" borderId="41" xfId="0" applyFont="1" applyBorder="1" applyAlignment="1">
      <alignment horizontal="center" vertical="center" shrinkToFit="1"/>
    </xf>
    <xf numFmtId="0" fontId="0" fillId="0" borderId="42" xfId="0" applyBorder="1" applyAlignment="1">
      <alignment vertical="center" shrinkToFit="1"/>
    </xf>
    <xf numFmtId="0" fontId="28" fillId="0" borderId="39" xfId="0" applyFont="1" applyBorder="1" applyAlignment="1">
      <alignment vertical="center" shrinkToFit="1"/>
    </xf>
    <xf numFmtId="0" fontId="0" fillId="0" borderId="39" xfId="0" applyBorder="1" applyAlignment="1">
      <alignment vertical="center" shrinkToFit="1"/>
    </xf>
    <xf numFmtId="0" fontId="24" fillId="0" borderId="39" xfId="0" applyFont="1" applyBorder="1" applyAlignment="1">
      <alignment horizontal="left" vertical="center" shrinkToFit="1"/>
    </xf>
    <xf numFmtId="0" fontId="25" fillId="0" borderId="25" xfId="0" applyFont="1" applyBorder="1" applyAlignment="1">
      <alignment horizontal="center" vertical="center"/>
    </xf>
    <xf numFmtId="0" fontId="21" fillId="0" borderId="25" xfId="0" applyFont="1" applyBorder="1">
      <alignment vertical="center"/>
    </xf>
    <xf numFmtId="0" fontId="21" fillId="0" borderId="25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 shrinkToFit="1"/>
    </xf>
    <xf numFmtId="0" fontId="24" fillId="0" borderId="25" xfId="0" applyFont="1" applyBorder="1" applyAlignment="1">
      <alignment horizontal="center" vertical="center" shrinkToFit="1"/>
    </xf>
    <xf numFmtId="0" fontId="24" fillId="8" borderId="25" xfId="0" applyFont="1" applyFill="1" applyBorder="1" applyAlignment="1">
      <alignment horizontal="center" vertical="center" shrinkToFit="1"/>
    </xf>
    <xf numFmtId="0" fontId="24" fillId="0" borderId="32" xfId="0" applyFont="1" applyBorder="1" applyAlignment="1">
      <alignment horizontal="center" vertical="center" shrinkToFit="1"/>
    </xf>
    <xf numFmtId="0" fontId="0" fillId="0" borderId="15" xfId="0" applyBorder="1" applyAlignment="1">
      <alignment vertical="center" shrinkToFit="1"/>
    </xf>
    <xf numFmtId="0" fontId="28" fillId="0" borderId="25" xfId="0" applyFont="1" applyBorder="1" applyAlignment="1">
      <alignment vertical="center" shrinkToFit="1"/>
    </xf>
    <xf numFmtId="0" fontId="0" fillId="0" borderId="25" xfId="0" applyBorder="1" applyAlignment="1">
      <alignment vertical="center" shrinkToFit="1"/>
    </xf>
    <xf numFmtId="0" fontId="24" fillId="0" borderId="25" xfId="0" applyFont="1" applyBorder="1" applyAlignment="1">
      <alignment horizontal="left" vertical="center" shrinkToFit="1"/>
    </xf>
    <xf numFmtId="0" fontId="30" fillId="0" borderId="34" xfId="0" applyFont="1" applyBorder="1" applyAlignment="1">
      <alignment horizontal="center" vertical="center" shrinkToFit="1"/>
    </xf>
    <xf numFmtId="0" fontId="25" fillId="0" borderId="20" xfId="0" applyFont="1" applyBorder="1" applyAlignment="1">
      <alignment horizontal="center" vertical="center"/>
    </xf>
    <xf numFmtId="0" fontId="21" fillId="0" borderId="20" xfId="0" applyFont="1" applyBorder="1">
      <alignment vertical="center"/>
    </xf>
    <xf numFmtId="0" fontId="21" fillId="0" borderId="20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24" fillId="0" borderId="44" xfId="0" applyFont="1" applyBorder="1" applyAlignment="1">
      <alignment horizontal="center" vertical="center" shrinkToFit="1"/>
    </xf>
    <xf numFmtId="0" fontId="0" fillId="0" borderId="27" xfId="0" applyBorder="1" applyAlignment="1">
      <alignment vertical="center" shrinkToFit="1"/>
    </xf>
    <xf numFmtId="0" fontId="28" fillId="0" borderId="20" xfId="0" applyFont="1" applyBorder="1" applyAlignment="1">
      <alignment vertical="center" shrinkToFit="1"/>
    </xf>
    <xf numFmtId="0" fontId="0" fillId="0" borderId="20" xfId="0" applyBorder="1" applyAlignment="1">
      <alignment vertical="center" shrinkToFit="1"/>
    </xf>
    <xf numFmtId="0" fontId="24" fillId="0" borderId="20" xfId="0" applyFont="1" applyBorder="1" applyAlignment="1">
      <alignment horizontal="left" vertical="center" shrinkToFit="1"/>
    </xf>
    <xf numFmtId="0" fontId="21" fillId="10" borderId="4" xfId="0" applyFont="1" applyFill="1" applyBorder="1">
      <alignment vertical="center"/>
    </xf>
    <xf numFmtId="0" fontId="25" fillId="10" borderId="4" xfId="0" applyFont="1" applyFill="1" applyBorder="1" applyAlignment="1">
      <alignment horizontal="center" vertical="center"/>
    </xf>
    <xf numFmtId="0" fontId="21" fillId="10" borderId="4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21" fillId="10" borderId="4" xfId="0" applyFont="1" applyFill="1" applyBorder="1" applyAlignment="1">
      <alignment horizontal="center" vertical="center" shrinkToFit="1"/>
    </xf>
    <xf numFmtId="0" fontId="0" fillId="0" borderId="39" xfId="0" applyBorder="1" applyAlignment="1">
      <alignment horizontal="center" vertical="center"/>
    </xf>
    <xf numFmtId="0" fontId="21" fillId="10" borderId="39" xfId="0" applyFont="1" applyFill="1" applyBorder="1">
      <alignment vertical="center"/>
    </xf>
    <xf numFmtId="0" fontId="25" fillId="10" borderId="39" xfId="0" applyFont="1" applyFill="1" applyBorder="1" applyAlignment="1">
      <alignment horizontal="center" vertical="center"/>
    </xf>
    <xf numFmtId="0" fontId="21" fillId="10" borderId="39" xfId="0" applyFont="1" applyFill="1" applyBorder="1" applyAlignment="1">
      <alignment horizontal="center" vertical="center"/>
    </xf>
    <xf numFmtId="0" fontId="6" fillId="10" borderId="39" xfId="0" applyFont="1" applyFill="1" applyBorder="1" applyAlignment="1">
      <alignment horizontal="center" vertical="center"/>
    </xf>
    <xf numFmtId="0" fontId="21" fillId="10" borderId="39" xfId="0" applyFont="1" applyFill="1" applyBorder="1" applyAlignment="1">
      <alignment horizontal="center" vertical="center" shrinkToFit="1"/>
    </xf>
    <xf numFmtId="0" fontId="0" fillId="0" borderId="36" xfId="0" applyBorder="1" applyAlignment="1">
      <alignment horizontal="center" vertical="center" shrinkToFit="1"/>
    </xf>
    <xf numFmtId="0" fontId="0" fillId="8" borderId="35" xfId="0" applyFill="1" applyBorder="1" applyAlignment="1">
      <alignment horizontal="center" vertical="center" shrinkToFit="1"/>
    </xf>
    <xf numFmtId="0" fontId="0" fillId="0" borderId="35" xfId="0" applyBorder="1" applyAlignment="1">
      <alignment horizontal="center" vertical="center" shrinkToFit="1"/>
    </xf>
    <xf numFmtId="0" fontId="0" fillId="0" borderId="37" xfId="0" applyBorder="1" applyAlignment="1">
      <alignment horizontal="center" vertical="center" shrinkToFit="1"/>
    </xf>
    <xf numFmtId="0" fontId="29" fillId="0" borderId="35" xfId="0" applyFont="1" applyBorder="1" applyAlignment="1">
      <alignment vertical="center" shrinkToFit="1"/>
    </xf>
    <xf numFmtId="0" fontId="0" fillId="0" borderId="4" xfId="0" applyBorder="1" applyAlignment="1">
      <alignment horizontal="center" vertical="center" shrinkToFit="1"/>
    </xf>
    <xf numFmtId="0" fontId="0" fillId="0" borderId="34" xfId="0" applyBorder="1" applyAlignment="1">
      <alignment horizontal="center" vertical="center" shrinkToFit="1"/>
    </xf>
    <xf numFmtId="0" fontId="26" fillId="8" borderId="7" xfId="0" applyFont="1" applyFill="1" applyBorder="1" applyAlignment="1">
      <alignment vertical="center" shrinkToFit="1"/>
    </xf>
    <xf numFmtId="0" fontId="29" fillId="3" borderId="4" xfId="0" applyFont="1" applyFill="1" applyBorder="1" applyAlignment="1">
      <alignment vertical="center" shrinkToFit="1"/>
    </xf>
    <xf numFmtId="0" fontId="0" fillId="8" borderId="4" xfId="0" applyFill="1" applyBorder="1" applyAlignment="1">
      <alignment horizontal="center" vertical="center" shrinkToFit="1"/>
    </xf>
    <xf numFmtId="0" fontId="29" fillId="0" borderId="4" xfId="0" applyFont="1" applyBorder="1" applyAlignment="1">
      <alignment vertical="center" shrinkToFit="1"/>
    </xf>
    <xf numFmtId="0" fontId="26" fillId="8" borderId="34" xfId="0" applyFont="1" applyFill="1" applyBorder="1" applyAlignment="1">
      <alignment horizontal="center" vertical="center" shrinkToFit="1"/>
    </xf>
    <xf numFmtId="0" fontId="0" fillId="8" borderId="4" xfId="0" applyFill="1" applyBorder="1" applyAlignment="1">
      <alignment vertical="center" shrinkToFit="1"/>
    </xf>
    <xf numFmtId="0" fontId="0" fillId="0" borderId="33" xfId="0" applyBorder="1" applyAlignment="1">
      <alignment horizontal="center" vertical="center" shrinkToFit="1"/>
    </xf>
    <xf numFmtId="0" fontId="0" fillId="11" borderId="20" xfId="0" applyFill="1" applyBorder="1" applyAlignment="1">
      <alignment horizontal="center" vertical="center" shrinkToFit="1"/>
    </xf>
    <xf numFmtId="0" fontId="0" fillId="0" borderId="44" xfId="0" applyBorder="1" applyAlignment="1">
      <alignment horizontal="center" vertical="center" shrinkToFit="1"/>
    </xf>
    <xf numFmtId="0" fontId="29" fillId="0" borderId="20" xfId="0" applyFont="1" applyBorder="1" applyAlignment="1">
      <alignment vertical="center" shrinkToFit="1"/>
    </xf>
    <xf numFmtId="0" fontId="0" fillId="11" borderId="36" xfId="0" applyFill="1" applyBorder="1" applyAlignment="1">
      <alignment horizontal="center" vertical="center" shrinkToFit="1"/>
    </xf>
    <xf numFmtId="0" fontId="0" fillId="0" borderId="43" xfId="0" applyBorder="1" applyAlignment="1">
      <alignment horizontal="center" vertical="center" shrinkToFit="1"/>
    </xf>
    <xf numFmtId="0" fontId="0" fillId="0" borderId="20" xfId="0" applyBorder="1" applyAlignment="1">
      <alignment horizontal="center" vertical="center" shrinkToFit="1"/>
    </xf>
    <xf numFmtId="0" fontId="6" fillId="10" borderId="4" xfId="0" applyFont="1" applyFill="1" applyBorder="1" applyAlignment="1">
      <alignment horizontal="center" vertical="center" shrinkToFit="1"/>
    </xf>
    <xf numFmtId="0" fontId="6" fillId="10" borderId="39" xfId="0" applyFont="1" applyFill="1" applyBorder="1" applyAlignment="1">
      <alignment horizontal="center" vertical="center" shrinkToFit="1"/>
    </xf>
    <xf numFmtId="0" fontId="29" fillId="0" borderId="39" xfId="0" applyFont="1" applyBorder="1" applyAlignment="1">
      <alignment vertical="center" shrinkToFit="1"/>
    </xf>
    <xf numFmtId="0" fontId="21" fillId="8" borderId="35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34" xfId="0" applyFill="1" applyBorder="1" applyAlignment="1">
      <alignment horizontal="center" vertical="center"/>
    </xf>
    <xf numFmtId="0" fontId="26" fillId="8" borderId="4" xfId="0" applyFont="1" applyFill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26" fillId="8" borderId="35" xfId="0" applyFont="1" applyFill="1" applyBorder="1" applyAlignment="1">
      <alignment horizontal="center" vertical="center"/>
    </xf>
    <xf numFmtId="0" fontId="26" fillId="8" borderId="38" xfId="0" applyFont="1" applyFill="1" applyBorder="1" applyAlignment="1">
      <alignment vertical="center" shrinkToFit="1"/>
    </xf>
    <xf numFmtId="0" fontId="21" fillId="8" borderId="20" xfId="0" applyFont="1" applyFill="1" applyBorder="1" applyAlignment="1">
      <alignment horizontal="center" vertical="center"/>
    </xf>
    <xf numFmtId="0" fontId="30" fillId="0" borderId="20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30" fillId="10" borderId="4" xfId="0" applyFont="1" applyFill="1" applyBorder="1" applyAlignment="1">
      <alignment horizontal="center" vertical="center"/>
    </xf>
    <xf numFmtId="0" fontId="30" fillId="10" borderId="39" xfId="0" applyFont="1" applyFill="1" applyBorder="1" applyAlignment="1">
      <alignment horizontal="center" vertical="center"/>
    </xf>
    <xf numFmtId="0" fontId="0" fillId="8" borderId="36" xfId="0" applyFill="1" applyBorder="1" applyAlignment="1">
      <alignment horizontal="center" vertical="center"/>
    </xf>
    <xf numFmtId="0" fontId="32" fillId="0" borderId="35" xfId="0" applyFont="1" applyBorder="1" applyAlignment="1">
      <alignment vertical="center" shrinkToFit="1"/>
    </xf>
    <xf numFmtId="0" fontId="32" fillId="0" borderId="4" xfId="0" applyFont="1" applyBorder="1" applyAlignment="1">
      <alignment vertical="center" shrinkToFit="1"/>
    </xf>
    <xf numFmtId="0" fontId="0" fillId="11" borderId="4" xfId="0" applyFill="1" applyBorder="1" applyAlignment="1">
      <alignment horizontal="center" vertical="center"/>
    </xf>
    <xf numFmtId="0" fontId="0" fillId="7" borderId="33" xfId="0" applyFill="1" applyBorder="1" applyAlignment="1">
      <alignment horizontal="center" vertical="center"/>
    </xf>
    <xf numFmtId="0" fontId="0" fillId="7" borderId="4" xfId="0" applyFill="1" applyBorder="1" applyAlignment="1">
      <alignment vertical="center" shrinkToFit="1"/>
    </xf>
    <xf numFmtId="0" fontId="0" fillId="7" borderId="4" xfId="0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0" fillId="11" borderId="33" xfId="0" applyFill="1" applyBorder="1" applyAlignment="1">
      <alignment horizontal="center" vertical="center"/>
    </xf>
    <xf numFmtId="0" fontId="0" fillId="8" borderId="20" xfId="0" applyFill="1" applyBorder="1" applyAlignment="1">
      <alignment horizontal="center" vertical="center"/>
    </xf>
    <xf numFmtId="0" fontId="32" fillId="0" borderId="20" xfId="0" applyFont="1" applyBorder="1" applyAlignment="1">
      <alignment vertical="center" shrinkToFit="1"/>
    </xf>
    <xf numFmtId="0" fontId="0" fillId="8" borderId="35" xfId="0" applyFill="1" applyBorder="1" applyAlignment="1">
      <alignment horizontal="center" vertical="center"/>
    </xf>
    <xf numFmtId="0" fontId="24" fillId="7" borderId="4" xfId="0" applyFont="1" applyFill="1" applyBorder="1" applyAlignment="1">
      <alignment horizontal="left" vertical="center" shrinkToFit="1"/>
    </xf>
    <xf numFmtId="0" fontId="32" fillId="8" borderId="4" xfId="0" applyFont="1" applyFill="1" applyBorder="1" applyAlignment="1">
      <alignment vertical="center" shrinkToFit="1"/>
    </xf>
    <xf numFmtId="0" fontId="0" fillId="7" borderId="35" xfId="0" applyFill="1" applyBorder="1" applyAlignment="1">
      <alignment horizontal="center" vertical="center"/>
    </xf>
    <xf numFmtId="0" fontId="24" fillId="7" borderId="35" xfId="0" applyFont="1" applyFill="1" applyBorder="1" applyAlignment="1">
      <alignment horizontal="left" vertical="center" shrinkToFit="1"/>
    </xf>
    <xf numFmtId="0" fontId="32" fillId="3" borderId="4" xfId="0" applyFont="1" applyFill="1" applyBorder="1" applyAlignment="1">
      <alignment vertical="center" shrinkToFit="1"/>
    </xf>
    <xf numFmtId="0" fontId="26" fillId="8" borderId="33" xfId="0" applyFont="1" applyFill="1" applyBorder="1" applyAlignment="1">
      <alignment horizontal="center" vertical="center"/>
    </xf>
    <xf numFmtId="0" fontId="26" fillId="3" borderId="27" xfId="0" applyFont="1" applyFill="1" applyBorder="1" applyAlignment="1">
      <alignment vertical="center" shrinkToFit="1"/>
    </xf>
    <xf numFmtId="0" fontId="31" fillId="3" borderId="4" xfId="0" applyFont="1" applyFill="1" applyBorder="1" applyAlignment="1">
      <alignment vertical="center" shrinkToFit="1"/>
    </xf>
    <xf numFmtId="0" fontId="0" fillId="11" borderId="43" xfId="0" applyFill="1" applyBorder="1" applyAlignment="1">
      <alignment horizontal="center" vertical="center"/>
    </xf>
    <xf numFmtId="0" fontId="32" fillId="0" borderId="39" xfId="0" applyFont="1" applyBorder="1" applyAlignment="1">
      <alignment vertical="center" shrinkToFit="1"/>
    </xf>
    <xf numFmtId="0" fontId="24" fillId="0" borderId="35" xfId="0" applyFont="1" applyBorder="1" applyAlignment="1">
      <alignment vertical="center" shrinkToFit="1"/>
    </xf>
    <xf numFmtId="0" fontId="24" fillId="0" borderId="4" xfId="0" applyFont="1" applyBorder="1" applyAlignment="1">
      <alignment vertical="center" shrinkToFit="1"/>
    </xf>
    <xf numFmtId="0" fontId="32" fillId="0" borderId="7" xfId="0" applyFont="1" applyBorder="1" applyAlignment="1">
      <alignment vertical="center" shrinkToFit="1"/>
    </xf>
    <xf numFmtId="0" fontId="0" fillId="8" borderId="33" xfId="0" applyFill="1" applyBorder="1" applyAlignment="1">
      <alignment horizontal="center" vertical="center"/>
    </xf>
    <xf numFmtId="0" fontId="0" fillId="5" borderId="43" xfId="0" applyFill="1" applyBorder="1" applyAlignment="1">
      <alignment horizontal="center" vertical="center"/>
    </xf>
    <xf numFmtId="0" fontId="32" fillId="0" borderId="27" xfId="0" applyFont="1" applyBorder="1" applyAlignment="1">
      <alignment vertical="center" shrinkToFit="1"/>
    </xf>
    <xf numFmtId="0" fontId="25" fillId="0" borderId="20" xfId="0" applyFont="1" applyBorder="1" applyAlignment="1">
      <alignment vertical="center" shrinkToFit="1"/>
    </xf>
    <xf numFmtId="0" fontId="32" fillId="0" borderId="38" xfId="0" applyFont="1" applyBorder="1" applyAlignment="1">
      <alignment vertical="center" shrinkToFit="1"/>
    </xf>
    <xf numFmtId="0" fontId="32" fillId="3" borderId="7" xfId="0" applyFont="1" applyFill="1" applyBorder="1" applyAlignment="1">
      <alignment vertical="center" shrinkToFit="1"/>
    </xf>
    <xf numFmtId="0" fontId="0" fillId="11" borderId="43" xfId="0" applyFill="1" applyBorder="1" applyAlignment="1">
      <alignment horizontal="center" vertical="center" shrinkToFit="1"/>
    </xf>
    <xf numFmtId="0" fontId="24" fillId="0" borderId="20" xfId="0" applyFont="1" applyBorder="1" applyAlignment="1">
      <alignment vertical="center" shrinkToFit="1"/>
    </xf>
    <xf numFmtId="0" fontId="24" fillId="0" borderId="39" xfId="0" applyFont="1" applyBorder="1" applyAlignment="1">
      <alignment vertical="center" shrinkToFit="1"/>
    </xf>
    <xf numFmtId="0" fontId="24" fillId="0" borderId="38" xfId="0" applyFont="1" applyBorder="1" applyAlignment="1">
      <alignment horizontal="left" vertical="center" shrinkToFit="1"/>
    </xf>
    <xf numFmtId="0" fontId="24" fillId="0" borderId="7" xfId="0" applyFont="1" applyBorder="1" applyAlignment="1">
      <alignment horizontal="left" vertical="center" shrinkToFit="1"/>
    </xf>
    <xf numFmtId="0" fontId="24" fillId="0" borderId="27" xfId="0" applyFont="1" applyBorder="1" applyAlignment="1">
      <alignment horizontal="left" vertical="center" shrinkToFit="1"/>
    </xf>
    <xf numFmtId="0" fontId="0" fillId="8" borderId="37" xfId="0" applyFill="1" applyBorder="1" applyAlignment="1">
      <alignment horizontal="center" vertical="center"/>
    </xf>
    <xf numFmtId="0" fontId="0" fillId="10" borderId="4" xfId="0" applyFill="1" applyBorder="1">
      <alignment vertical="center"/>
    </xf>
    <xf numFmtId="0" fontId="0" fillId="0" borderId="45" xfId="0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6" fillId="12" borderId="4" xfId="0" applyFont="1" applyFill="1" applyBorder="1" applyAlignment="1">
      <alignment horizontal="center" vertical="center"/>
    </xf>
    <xf numFmtId="0" fontId="0" fillId="8" borderId="33" xfId="0" applyFill="1" applyBorder="1" applyAlignment="1">
      <alignment horizontal="center" vertical="center" shrinkToFit="1"/>
    </xf>
    <xf numFmtId="0" fontId="0" fillId="8" borderId="34" xfId="0" applyFill="1" applyBorder="1" applyAlignment="1">
      <alignment horizontal="center" vertical="center" shrinkToFit="1"/>
    </xf>
    <xf numFmtId="0" fontId="0" fillId="12" borderId="7" xfId="0" applyFill="1" applyBorder="1" applyAlignment="1">
      <alignment horizontal="center" vertical="center" shrinkToFit="1"/>
    </xf>
    <xf numFmtId="0" fontId="29" fillId="7" borderId="4" xfId="0" applyFont="1" applyFill="1" applyBorder="1" applyAlignment="1">
      <alignment horizontal="center" vertical="center" shrinkToFit="1"/>
    </xf>
    <xf numFmtId="0" fontId="0" fillId="12" borderId="4" xfId="0" applyFill="1" applyBorder="1" applyAlignment="1">
      <alignment horizontal="center" vertical="center" shrinkToFit="1"/>
    </xf>
    <xf numFmtId="0" fontId="0" fillId="4" borderId="4" xfId="0" applyFill="1" applyBorder="1" applyAlignment="1">
      <alignment horizontal="center" vertical="center" shrinkToFit="1"/>
    </xf>
    <xf numFmtId="0" fontId="0" fillId="6" borderId="4" xfId="0" applyFill="1" applyBorder="1" applyAlignment="1">
      <alignment horizontal="center" vertical="center" shrinkToFit="1"/>
    </xf>
    <xf numFmtId="0" fontId="0" fillId="7" borderId="43" xfId="0" applyFill="1" applyBorder="1" applyAlignment="1">
      <alignment horizontal="center" vertical="center" shrinkToFit="1"/>
    </xf>
    <xf numFmtId="0" fontId="25" fillId="7" borderId="20" xfId="0" applyFont="1" applyFill="1" applyBorder="1" applyAlignment="1">
      <alignment vertical="center" shrinkToFit="1"/>
    </xf>
    <xf numFmtId="0" fontId="25" fillId="0" borderId="35" xfId="0" applyFont="1" applyBorder="1" applyAlignment="1">
      <alignment vertical="center" shrinkToFit="1"/>
    </xf>
    <xf numFmtId="0" fontId="0" fillId="12" borderId="34" xfId="0" applyFill="1" applyBorder="1" applyAlignment="1">
      <alignment horizontal="center" vertical="center" shrinkToFit="1"/>
    </xf>
    <xf numFmtId="0" fontId="25" fillId="8" borderId="4" xfId="0" applyFont="1" applyFill="1" applyBorder="1" applyAlignment="1">
      <alignment vertical="center" shrinkToFit="1"/>
    </xf>
    <xf numFmtId="0" fontId="0" fillId="7" borderId="4" xfId="0" applyFill="1" applyBorder="1" applyAlignment="1">
      <alignment horizontal="center" vertical="center" shrinkToFit="1"/>
    </xf>
    <xf numFmtId="0" fontId="24" fillId="7" borderId="4" xfId="0" applyFont="1" applyFill="1" applyBorder="1" applyAlignment="1">
      <alignment vertical="center" shrinkToFit="1"/>
    </xf>
    <xf numFmtId="0" fontId="29" fillId="0" borderId="7" xfId="0" applyFont="1" applyBorder="1" applyAlignment="1">
      <alignment vertical="center" shrinkToFit="1"/>
    </xf>
    <xf numFmtId="0" fontId="0" fillId="8" borderId="20" xfId="0" applyFill="1" applyBorder="1" applyAlignment="1">
      <alignment horizontal="center" vertical="center" shrinkToFit="1"/>
    </xf>
    <xf numFmtId="0" fontId="0" fillId="0" borderId="36" xfId="19" applyFont="1" applyBorder="1" applyAlignment="1">
      <alignment horizontal="center" vertical="center"/>
    </xf>
    <xf numFmtId="0" fontId="0" fillId="0" borderId="35" xfId="19" applyFont="1" applyBorder="1" applyAlignment="1">
      <alignment horizontal="center" vertical="center"/>
    </xf>
    <xf numFmtId="0" fontId="0" fillId="11" borderId="35" xfId="0" applyFill="1" applyBorder="1" applyAlignment="1">
      <alignment horizontal="center" vertical="center"/>
    </xf>
    <xf numFmtId="0" fontId="0" fillId="0" borderId="33" xfId="19" applyFont="1" applyBorder="1" applyAlignment="1">
      <alignment horizontal="center" vertical="center"/>
    </xf>
    <xf numFmtId="0" fontId="0" fillId="0" borderId="4" xfId="19" applyFont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3" borderId="4" xfId="0" applyFill="1" applyBorder="1" applyAlignment="1">
      <alignment vertical="center" shrinkToFit="1"/>
    </xf>
    <xf numFmtId="0" fontId="0" fillId="11" borderId="20" xfId="0" applyFill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30" fillId="5" borderId="34" xfId="0" applyFont="1" applyFill="1" applyBorder="1" applyAlignment="1">
      <alignment horizontal="center" vertical="center"/>
    </xf>
    <xf numFmtId="0" fontId="6" fillId="10" borderId="34" xfId="0" applyFont="1" applyFill="1" applyBorder="1" applyAlignment="1">
      <alignment horizontal="center" vertical="center"/>
    </xf>
    <xf numFmtId="0" fontId="0" fillId="0" borderId="45" xfId="0" applyBorder="1" applyAlignment="1">
      <alignment vertical="center" shrinkToFit="1"/>
    </xf>
    <xf numFmtId="0" fontId="0" fillId="0" borderId="21" xfId="0" applyBorder="1" applyAlignment="1">
      <alignment vertical="center" shrinkToFit="1"/>
    </xf>
    <xf numFmtId="0" fontId="28" fillId="0" borderId="21" xfId="0" applyFont="1" applyBorder="1" applyAlignment="1">
      <alignment vertical="center" shrinkToFit="1"/>
    </xf>
    <xf numFmtId="0" fontId="24" fillId="0" borderId="21" xfId="0" applyFont="1" applyBorder="1" applyAlignment="1">
      <alignment horizontal="left" vertical="center" shrinkToFit="1"/>
    </xf>
    <xf numFmtId="0" fontId="6" fillId="10" borderId="41" xfId="0" applyFont="1" applyFill="1" applyBorder="1" applyAlignment="1">
      <alignment horizontal="center" vertical="center"/>
    </xf>
    <xf numFmtId="0" fontId="0" fillId="0" borderId="7" xfId="0" applyBorder="1" applyAlignment="1">
      <alignment horizontal="left" vertical="center" shrinkToFit="1"/>
    </xf>
    <xf numFmtId="0" fontId="0" fillId="0" borderId="43" xfId="19" applyFont="1" applyBorder="1" applyAlignment="1">
      <alignment horizontal="center" vertical="center"/>
    </xf>
    <xf numFmtId="0" fontId="0" fillId="0" borderId="20" xfId="19" applyFont="1" applyBorder="1" applyAlignment="1">
      <alignment horizontal="center" vertical="center"/>
    </xf>
    <xf numFmtId="0" fontId="0" fillId="0" borderId="27" xfId="0" applyBorder="1" applyAlignment="1">
      <alignment horizontal="left" vertical="center" shrinkToFit="1"/>
    </xf>
    <xf numFmtId="0" fontId="0" fillId="0" borderId="38" xfId="0" applyBorder="1" applyAlignment="1">
      <alignment horizontal="left" vertical="center" shrinkToFit="1"/>
    </xf>
    <xf numFmtId="0" fontId="30" fillId="0" borderId="4" xfId="19" applyFont="1" applyBorder="1" applyAlignment="1">
      <alignment horizontal="center" vertical="center"/>
    </xf>
    <xf numFmtId="0" fontId="6" fillId="10" borderId="4" xfId="19" applyFont="1" applyFill="1" applyBorder="1" applyAlignment="1">
      <alignment horizontal="center" vertical="center"/>
    </xf>
    <xf numFmtId="0" fontId="28" fillId="0" borderId="45" xfId="0" applyFont="1" applyBorder="1" applyAlignment="1">
      <alignment vertical="center" shrinkToFit="1"/>
    </xf>
    <xf numFmtId="0" fontId="0" fillId="0" borderId="45" xfId="0" applyBorder="1" applyAlignment="1">
      <alignment horizontal="left" vertical="center" shrinkToFit="1"/>
    </xf>
    <xf numFmtId="0" fontId="6" fillId="10" borderId="39" xfId="19" applyFont="1" applyFill="1" applyBorder="1" applyAlignment="1">
      <alignment horizontal="center" vertical="center"/>
    </xf>
    <xf numFmtId="0" fontId="28" fillId="0" borderId="38" xfId="0" applyFont="1" applyBorder="1" applyAlignment="1">
      <alignment vertical="center" shrinkToFit="1"/>
    </xf>
    <xf numFmtId="0" fontId="28" fillId="0" borderId="7" xfId="0" applyFont="1" applyBorder="1" applyAlignment="1">
      <alignment vertical="center" shrinkToFit="1"/>
    </xf>
    <xf numFmtId="0" fontId="28" fillId="0" borderId="27" xfId="0" applyFont="1" applyBorder="1" applyAlignment="1">
      <alignment vertical="center" shrinkToFit="1"/>
    </xf>
    <xf numFmtId="0" fontId="31" fillId="3" borderId="7" xfId="0" applyFont="1" applyFill="1" applyBorder="1" applyAlignment="1">
      <alignment vertical="center" shrinkToFit="1"/>
    </xf>
    <xf numFmtId="0" fontId="25" fillId="0" borderId="4" xfId="0" applyFont="1" applyBorder="1" applyAlignment="1">
      <alignment vertical="center" shrinkToFit="1"/>
    </xf>
    <xf numFmtId="0" fontId="0" fillId="10" borderId="4" xfId="0" applyFill="1" applyBorder="1" applyAlignment="1">
      <alignment horizontal="center" vertical="center"/>
    </xf>
    <xf numFmtId="0" fontId="6" fillId="10" borderId="4" xfId="0" applyFont="1" applyFill="1" applyBorder="1">
      <alignment vertical="center"/>
    </xf>
    <xf numFmtId="0" fontId="6" fillId="0" borderId="45" xfId="0" applyFont="1" applyBorder="1" applyAlignment="1">
      <alignment horizontal="center" vertical="center"/>
    </xf>
    <xf numFmtId="0" fontId="41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42" fillId="3" borderId="53" xfId="0" applyFont="1" applyFill="1" applyBorder="1" applyAlignment="1">
      <alignment horizontal="center" vertical="center"/>
    </xf>
    <xf numFmtId="0" fontId="42" fillId="3" borderId="53" xfId="0" applyFont="1" applyFill="1" applyBorder="1" applyAlignment="1">
      <alignment horizontal="center" vertical="center" wrapText="1"/>
    </xf>
    <xf numFmtId="0" fontId="42" fillId="5" borderId="25" xfId="0" applyFont="1" applyFill="1" applyBorder="1" applyAlignment="1">
      <alignment horizontal="center" vertical="center" wrapText="1"/>
    </xf>
    <xf numFmtId="0" fontId="42" fillId="5" borderId="25" xfId="0" applyFont="1" applyFill="1" applyBorder="1" applyAlignment="1">
      <alignment horizontal="center" vertical="center"/>
    </xf>
    <xf numFmtId="9" fontId="42" fillId="5" borderId="25" xfId="18" applyFont="1" applyFill="1" applyBorder="1" applyAlignment="1">
      <alignment horizontal="center" vertical="center"/>
    </xf>
    <xf numFmtId="0" fontId="42" fillId="5" borderId="54" xfId="0" applyFont="1" applyFill="1" applyBorder="1" applyAlignment="1">
      <alignment horizontal="center" vertical="center" wrapText="1"/>
    </xf>
    <xf numFmtId="0" fontId="42" fillId="5" borderId="54" xfId="0" applyFont="1" applyFill="1" applyBorder="1" applyAlignment="1">
      <alignment horizontal="center" vertical="center"/>
    </xf>
    <xf numFmtId="0" fontId="43" fillId="5" borderId="52" xfId="0" applyFont="1" applyFill="1" applyBorder="1" applyAlignment="1">
      <alignment horizontal="center" vertical="center"/>
    </xf>
    <xf numFmtId="0" fontId="42" fillId="5" borderId="53" xfId="0" applyFont="1" applyFill="1" applyBorder="1" applyAlignment="1">
      <alignment horizontal="center" vertical="center"/>
    </xf>
    <xf numFmtId="0" fontId="42" fillId="5" borderId="55" xfId="0" applyFont="1" applyFill="1" applyBorder="1" applyAlignment="1">
      <alignment horizontal="center" vertical="center" shrinkToFit="1"/>
    </xf>
    <xf numFmtId="0" fontId="42" fillId="5" borderId="20" xfId="0" applyFont="1" applyFill="1" applyBorder="1" applyAlignment="1">
      <alignment horizontal="center" vertical="center"/>
    </xf>
    <xf numFmtId="0" fontId="5" fillId="3" borderId="58" xfId="0" applyFont="1" applyFill="1" applyBorder="1" applyAlignment="1">
      <alignment horizontal="center" vertical="center"/>
    </xf>
    <xf numFmtId="9" fontId="5" fillId="3" borderId="58" xfId="18" applyFont="1" applyFill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4" xfId="13" applyFont="1" applyBorder="1">
      <alignment vertical="center"/>
    </xf>
    <xf numFmtId="0" fontId="44" fillId="0" borderId="0" xfId="14" applyFont="1">
      <alignment vertical="center"/>
    </xf>
    <xf numFmtId="0" fontId="47" fillId="0" borderId="21" xfId="0" applyFont="1" applyBorder="1" applyAlignment="1">
      <alignment horizontal="center" vertical="center"/>
    </xf>
    <xf numFmtId="0" fontId="47" fillId="0" borderId="25" xfId="0" applyFont="1" applyBorder="1">
      <alignment vertical="center"/>
    </xf>
    <xf numFmtId="0" fontId="47" fillId="0" borderId="25" xfId="14" applyFont="1" applyBorder="1" applyAlignment="1">
      <alignment horizontal="center" vertical="center" wrapText="1"/>
    </xf>
    <xf numFmtId="0" fontId="1" fillId="0" borderId="0" xfId="14">
      <alignment vertical="center"/>
    </xf>
    <xf numFmtId="0" fontId="18" fillId="0" borderId="4" xfId="0" applyFont="1" applyBorder="1" applyAlignment="1">
      <alignment horizontal="center" vertical="center"/>
    </xf>
    <xf numFmtId="0" fontId="44" fillId="0" borderId="0" xfId="14" applyFont="1" applyAlignment="1">
      <alignment horizontal="center" vertical="center"/>
    </xf>
    <xf numFmtId="0" fontId="18" fillId="0" borderId="0" xfId="14" applyFont="1" applyAlignment="1">
      <alignment horizontal="center" vertical="center"/>
    </xf>
    <xf numFmtId="0" fontId="47" fillId="0" borderId="0" xfId="14" applyFont="1" applyAlignment="1">
      <alignment horizontal="center" vertical="center"/>
    </xf>
    <xf numFmtId="0" fontId="4" fillId="0" borderId="0" xfId="14" applyFont="1">
      <alignment vertical="center"/>
    </xf>
    <xf numFmtId="0" fontId="55" fillId="0" borderId="6" xfId="12" applyFont="1" applyBorder="1">
      <alignment vertical="center"/>
    </xf>
    <xf numFmtId="0" fontId="55" fillId="0" borderId="7" xfId="12" applyFont="1" applyBorder="1">
      <alignment vertical="center"/>
    </xf>
    <xf numFmtId="0" fontId="17" fillId="0" borderId="10" xfId="8" applyFont="1" applyBorder="1" applyAlignment="1">
      <alignment horizontal="center" vertical="center"/>
    </xf>
    <xf numFmtId="0" fontId="17" fillId="0" borderId="4" xfId="8" applyFont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/>
    </xf>
    <xf numFmtId="0" fontId="17" fillId="0" borderId="63" xfId="8" applyFont="1" applyBorder="1" applyAlignment="1">
      <alignment horizontal="center" vertical="center"/>
    </xf>
    <xf numFmtId="0" fontId="4" fillId="0" borderId="64" xfId="0" applyFont="1" applyBorder="1" applyAlignment="1">
      <alignment horizontal="left" vertical="center"/>
    </xf>
    <xf numFmtId="0" fontId="4" fillId="0" borderId="64" xfId="8" applyFont="1" applyBorder="1" applyAlignment="1">
      <alignment vertical="center"/>
    </xf>
    <xf numFmtId="0" fontId="1" fillId="0" borderId="65" xfId="14" applyBorder="1">
      <alignment vertical="center"/>
    </xf>
    <xf numFmtId="0" fontId="45" fillId="16" borderId="66" xfId="23" applyFont="1" applyBorder="1" applyAlignment="1">
      <alignment horizontal="center" vertical="center" wrapText="1"/>
    </xf>
    <xf numFmtId="41" fontId="45" fillId="16" borderId="66" xfId="23" applyNumberFormat="1" applyFont="1" applyBorder="1" applyAlignment="1">
      <alignment horizontal="center" vertical="center" wrapText="1"/>
    </xf>
    <xf numFmtId="41" fontId="4" fillId="17" borderId="66" xfId="22" applyNumberFormat="1" applyFont="1" applyFill="1" applyBorder="1" applyAlignment="1">
      <alignment horizontal="center" vertical="center" wrapText="1"/>
    </xf>
    <xf numFmtId="0" fontId="4" fillId="17" borderId="66" xfId="22" applyFont="1" applyFill="1" applyBorder="1" applyAlignment="1">
      <alignment horizontal="center" vertical="center" wrapText="1"/>
    </xf>
    <xf numFmtId="0" fontId="46" fillId="10" borderId="66" xfId="14" applyFont="1" applyFill="1" applyBorder="1" applyAlignment="1">
      <alignment horizontal="center" vertical="center"/>
    </xf>
    <xf numFmtId="0" fontId="4" fillId="10" borderId="66" xfId="14" applyFont="1" applyFill="1" applyBorder="1" applyAlignment="1">
      <alignment horizontal="center" vertical="center"/>
    </xf>
    <xf numFmtId="0" fontId="47" fillId="5" borderId="66" xfId="0" applyFont="1" applyFill="1" applyBorder="1" applyAlignment="1">
      <alignment horizontal="center" vertical="center"/>
    </xf>
    <xf numFmtId="177" fontId="48" fillId="5" borderId="66" xfId="17" applyNumberFormat="1" applyFont="1" applyFill="1" applyBorder="1" applyAlignment="1">
      <alignment horizontal="center" vertical="center"/>
    </xf>
    <xf numFmtId="0" fontId="47" fillId="0" borderId="66" xfId="0" applyFont="1" applyBorder="1" applyAlignment="1">
      <alignment horizontal="center" vertical="center"/>
    </xf>
    <xf numFmtId="0" fontId="49" fillId="5" borderId="66" xfId="20" applyFont="1" applyFill="1" applyBorder="1" applyAlignment="1">
      <alignment horizontal="center" vertical="center" wrapText="1"/>
    </xf>
    <xf numFmtId="0" fontId="50" fillId="5" borderId="66" xfId="20" applyFont="1" applyFill="1" applyBorder="1" applyAlignment="1">
      <alignment horizontal="center" vertical="center" wrapText="1"/>
    </xf>
    <xf numFmtId="0" fontId="50" fillId="5" borderId="65" xfId="20" applyFont="1" applyFill="1" applyBorder="1" applyAlignment="1">
      <alignment horizontal="center" vertical="center" wrapText="1"/>
    </xf>
    <xf numFmtId="0" fontId="48" fillId="0" borderId="66" xfId="14" applyFont="1" applyBorder="1" applyAlignment="1">
      <alignment horizontal="center" vertical="center"/>
    </xf>
    <xf numFmtId="0" fontId="47" fillId="0" borderId="66" xfId="14" applyFont="1" applyBorder="1" applyAlignment="1">
      <alignment horizontal="center" vertical="center"/>
    </xf>
    <xf numFmtId="0" fontId="51" fillId="0" borderId="66" xfId="14" applyFont="1" applyBorder="1" applyAlignment="1">
      <alignment horizontal="center" vertical="center"/>
    </xf>
    <xf numFmtId="0" fontId="47" fillId="0" borderId="66" xfId="14" applyFont="1" applyBorder="1" applyAlignment="1">
      <alignment horizontal="center" vertical="center" wrapText="1"/>
    </xf>
    <xf numFmtId="0" fontId="47" fillId="0" borderId="65" xfId="14" applyFont="1" applyBorder="1" applyAlignment="1">
      <alignment horizontal="center" vertical="center"/>
    </xf>
    <xf numFmtId="0" fontId="52" fillId="14" borderId="67" xfId="21" applyFont="1" applyBorder="1" applyAlignment="1">
      <alignment horizontal="center" vertical="center"/>
    </xf>
    <xf numFmtId="177" fontId="52" fillId="14" borderId="67" xfId="21" applyNumberFormat="1" applyFont="1" applyBorder="1" applyAlignment="1">
      <alignment horizontal="center" vertical="center"/>
    </xf>
    <xf numFmtId="0" fontId="47" fillId="0" borderId="66" xfId="0" applyFont="1" applyBorder="1">
      <alignment vertical="center"/>
    </xf>
    <xf numFmtId="0" fontId="44" fillId="0" borderId="68" xfId="14" applyFont="1" applyBorder="1" applyAlignment="1">
      <alignment horizontal="left" vertical="center"/>
    </xf>
    <xf numFmtId="0" fontId="53" fillId="0" borderId="64" xfId="14" applyFont="1" applyBorder="1">
      <alignment vertical="center"/>
    </xf>
    <xf numFmtId="0" fontId="44" fillId="0" borderId="64" xfId="14" applyFont="1" applyBorder="1">
      <alignment vertical="center"/>
    </xf>
    <xf numFmtId="0" fontId="4" fillId="0" borderId="64" xfId="0" applyFont="1" applyBorder="1">
      <alignment vertical="center"/>
    </xf>
    <xf numFmtId="0" fontId="4" fillId="0" borderId="64" xfId="14" applyFont="1" applyBorder="1">
      <alignment vertical="center"/>
    </xf>
    <xf numFmtId="0" fontId="4" fillId="0" borderId="64" xfId="14" applyFont="1" applyBorder="1" applyAlignment="1">
      <alignment horizontal="center" vertical="center"/>
    </xf>
    <xf numFmtId="0" fontId="54" fillId="0" borderId="64" xfId="14" applyFont="1" applyBorder="1">
      <alignment vertical="center"/>
    </xf>
    <xf numFmtId="0" fontId="12" fillId="0" borderId="65" xfId="8" applyBorder="1" applyAlignment="1">
      <alignment vertical="center"/>
    </xf>
    <xf numFmtId="0" fontId="4" fillId="0" borderId="68" xfId="14" applyFont="1" applyBorder="1">
      <alignment vertical="center"/>
    </xf>
    <xf numFmtId="0" fontId="4" fillId="0" borderId="65" xfId="14" applyFont="1" applyBorder="1">
      <alignment vertical="center"/>
    </xf>
    <xf numFmtId="0" fontId="16" fillId="0" borderId="68" xfId="8" applyFont="1" applyBorder="1" applyAlignment="1">
      <alignment horizontal="left" vertical="center"/>
    </xf>
    <xf numFmtId="0" fontId="7" fillId="0" borderId="64" xfId="12" applyFont="1" applyBorder="1">
      <alignment vertical="center"/>
    </xf>
    <xf numFmtId="0" fontId="7" fillId="0" borderId="65" xfId="12" applyFont="1" applyBorder="1">
      <alignment vertical="center"/>
    </xf>
    <xf numFmtId="0" fontId="47" fillId="0" borderId="67" xfId="0" applyFont="1" applyBorder="1" applyAlignment="1">
      <alignment horizontal="center" vertical="center"/>
    </xf>
    <xf numFmtId="0" fontId="7" fillId="0" borderId="68" xfId="12" applyFont="1" applyBorder="1" applyAlignment="1">
      <alignment horizontal="left" vertical="center"/>
    </xf>
    <xf numFmtId="0" fontId="18" fillId="0" borderId="64" xfId="12" applyFont="1" applyBorder="1" applyAlignment="1">
      <alignment horizontal="left" vertical="center"/>
    </xf>
    <xf numFmtId="0" fontId="18" fillId="0" borderId="65" xfId="12" applyFont="1" applyBorder="1" applyAlignment="1">
      <alignment horizontal="left" vertical="center"/>
    </xf>
    <xf numFmtId="0" fontId="17" fillId="0" borderId="68" xfId="8" applyFont="1" applyBorder="1" applyAlignment="1">
      <alignment horizontal="left" vertical="center"/>
    </xf>
    <xf numFmtId="0" fontId="1" fillId="0" borderId="0" xfId="24">
      <alignment vertical="center"/>
    </xf>
    <xf numFmtId="0" fontId="1" fillId="0" borderId="0" xfId="24" applyAlignment="1">
      <alignment horizontal="center" vertical="center"/>
    </xf>
    <xf numFmtId="0" fontId="1" fillId="12" borderId="66" xfId="24" applyFill="1" applyBorder="1" applyAlignment="1">
      <alignment horizontal="center" vertical="center"/>
    </xf>
    <xf numFmtId="0" fontId="6" fillId="12" borderId="66" xfId="24" applyFont="1" applyFill="1" applyBorder="1" applyAlignment="1">
      <alignment horizontal="center" vertical="center"/>
    </xf>
    <xf numFmtId="0" fontId="1" fillId="7" borderId="66" xfId="24" applyFill="1" applyBorder="1" applyAlignment="1">
      <alignment horizontal="center" vertical="center"/>
    </xf>
    <xf numFmtId="0" fontId="1" fillId="7" borderId="68" xfId="24" applyFill="1" applyBorder="1" applyAlignment="1">
      <alignment horizontal="center" vertical="center"/>
    </xf>
    <xf numFmtId="0" fontId="1" fillId="8" borderId="33" xfId="24" applyFill="1" applyBorder="1" applyAlignment="1">
      <alignment horizontal="center" vertical="center"/>
    </xf>
    <xf numFmtId="0" fontId="1" fillId="8" borderId="66" xfId="24" applyFill="1" applyBorder="1" applyAlignment="1">
      <alignment horizontal="center" vertical="center"/>
    </xf>
    <xf numFmtId="0" fontId="1" fillId="8" borderId="34" xfId="24" applyFill="1" applyBorder="1" applyAlignment="1">
      <alignment horizontal="center" vertical="center"/>
    </xf>
    <xf numFmtId="0" fontId="1" fillId="0" borderId="66" xfId="24" applyBorder="1" applyAlignment="1">
      <alignment horizontal="center" vertical="center"/>
    </xf>
    <xf numFmtId="0" fontId="1" fillId="0" borderId="69" xfId="24" applyBorder="1" applyAlignment="1">
      <alignment horizontal="center" vertical="center"/>
    </xf>
    <xf numFmtId="0" fontId="25" fillId="0" borderId="69" xfId="24" applyFont="1" applyBorder="1" applyAlignment="1">
      <alignment horizontal="center" vertical="center"/>
    </xf>
    <xf numFmtId="0" fontId="21" fillId="0" borderId="69" xfId="24" applyFont="1" applyBorder="1">
      <alignment vertical="center"/>
    </xf>
    <xf numFmtId="0" fontId="21" fillId="8" borderId="69" xfId="24" applyFont="1" applyFill="1" applyBorder="1" applyAlignment="1">
      <alignment horizontal="center" vertical="center"/>
    </xf>
    <xf numFmtId="0" fontId="1" fillId="0" borderId="69" xfId="24" applyBorder="1">
      <alignment vertical="center"/>
    </xf>
    <xf numFmtId="0" fontId="1" fillId="0" borderId="70" xfId="24" applyBorder="1" applyAlignment="1">
      <alignment horizontal="center" vertical="center"/>
    </xf>
    <xf numFmtId="0" fontId="1" fillId="0" borderId="71" xfId="24" applyBorder="1" applyAlignment="1">
      <alignment horizontal="center" vertical="center" shrinkToFit="1"/>
    </xf>
    <xf numFmtId="0" fontId="1" fillId="0" borderId="70" xfId="24" applyBorder="1" applyAlignment="1">
      <alignment horizontal="center" vertical="center" shrinkToFit="1"/>
    </xf>
    <xf numFmtId="0" fontId="24" fillId="11" borderId="69" xfId="25" applyFont="1" applyFill="1" applyBorder="1" applyAlignment="1">
      <alignment horizontal="center" vertical="center"/>
    </xf>
    <xf numFmtId="0" fontId="1" fillId="0" borderId="72" xfId="24" applyBorder="1" applyAlignment="1">
      <alignment horizontal="center" vertical="center" shrinkToFit="1"/>
    </xf>
    <xf numFmtId="0" fontId="1" fillId="8" borderId="73" xfId="24" applyFill="1" applyBorder="1" applyAlignment="1">
      <alignment horizontal="center" vertical="center" shrinkToFit="1"/>
    </xf>
    <xf numFmtId="0" fontId="25" fillId="0" borderId="66" xfId="24" applyFont="1" applyBorder="1" applyAlignment="1">
      <alignment horizontal="center" vertical="center"/>
    </xf>
    <xf numFmtId="0" fontId="21" fillId="0" borderId="66" xfId="24" applyFont="1" applyBorder="1">
      <alignment vertical="center"/>
    </xf>
    <xf numFmtId="0" fontId="21" fillId="0" borderId="66" xfId="24" applyFont="1" applyBorder="1" applyAlignment="1">
      <alignment horizontal="center" vertical="center"/>
    </xf>
    <xf numFmtId="0" fontId="1" fillId="0" borderId="66" xfId="24" applyBorder="1">
      <alignment vertical="center"/>
    </xf>
    <xf numFmtId="0" fontId="1" fillId="0" borderId="68" xfId="24" applyBorder="1" applyAlignment="1">
      <alignment horizontal="center" vertical="center"/>
    </xf>
    <xf numFmtId="0" fontId="1" fillId="0" borderId="33" xfId="24" applyBorder="1" applyAlignment="1">
      <alignment horizontal="center" vertical="center" shrinkToFit="1"/>
    </xf>
    <xf numFmtId="0" fontId="1" fillId="0" borderId="68" xfId="24" applyBorder="1" applyAlignment="1">
      <alignment horizontal="center" vertical="center" shrinkToFit="1"/>
    </xf>
    <xf numFmtId="0" fontId="24" fillId="11" borderId="66" xfId="25" applyFont="1" applyFill="1" applyBorder="1" applyAlignment="1">
      <alignment horizontal="center" vertical="center"/>
    </xf>
    <xf numFmtId="0" fontId="1" fillId="0" borderId="34" xfId="24" applyBorder="1" applyAlignment="1">
      <alignment horizontal="center" vertical="center" shrinkToFit="1"/>
    </xf>
    <xf numFmtId="0" fontId="29" fillId="6" borderId="66" xfId="24" applyFont="1" applyFill="1" applyBorder="1">
      <alignment vertical="center"/>
    </xf>
    <xf numFmtId="0" fontId="1" fillId="6" borderId="66" xfId="24" applyFill="1" applyBorder="1" applyAlignment="1">
      <alignment horizontal="center" vertical="center"/>
    </xf>
    <xf numFmtId="0" fontId="1" fillId="0" borderId="66" xfId="24" applyBorder="1" applyAlignment="1">
      <alignment horizontal="center" vertical="center" shrinkToFit="1"/>
    </xf>
    <xf numFmtId="0" fontId="1" fillId="0" borderId="65" xfId="24" applyBorder="1" applyAlignment="1">
      <alignment horizontal="center" vertical="center" shrinkToFit="1"/>
    </xf>
    <xf numFmtId="0" fontId="1" fillId="11" borderId="34" xfId="24" applyFill="1" applyBorder="1" applyAlignment="1">
      <alignment horizontal="center" vertical="center" shrinkToFit="1"/>
    </xf>
    <xf numFmtId="0" fontId="1" fillId="8" borderId="66" xfId="24" applyFill="1" applyBorder="1" applyAlignment="1">
      <alignment horizontal="center" vertical="center" shrinkToFit="1"/>
    </xf>
    <xf numFmtId="0" fontId="21" fillId="8" borderId="66" xfId="24" applyFont="1" applyFill="1" applyBorder="1" applyAlignment="1">
      <alignment horizontal="center" vertical="center"/>
    </xf>
    <xf numFmtId="0" fontId="1" fillId="6" borderId="66" xfId="24" applyFill="1" applyBorder="1">
      <alignment vertical="center"/>
    </xf>
    <xf numFmtId="0" fontId="25" fillId="11" borderId="33" xfId="24" applyFont="1" applyFill="1" applyBorder="1" applyAlignment="1">
      <alignment horizontal="center" vertical="center" shrinkToFit="1"/>
    </xf>
    <xf numFmtId="0" fontId="1" fillId="0" borderId="25" xfId="24" applyBorder="1" applyAlignment="1">
      <alignment horizontal="center" vertical="center"/>
    </xf>
    <xf numFmtId="0" fontId="25" fillId="0" borderId="25" xfId="24" applyFont="1" applyBorder="1" applyAlignment="1">
      <alignment horizontal="center" vertical="center"/>
    </xf>
    <xf numFmtId="0" fontId="21" fillId="0" borderId="25" xfId="24" applyFont="1" applyBorder="1">
      <alignment vertical="center"/>
    </xf>
    <xf numFmtId="0" fontId="21" fillId="0" borderId="25" xfId="24" applyFont="1" applyBorder="1" applyAlignment="1">
      <alignment horizontal="center" vertical="center"/>
    </xf>
    <xf numFmtId="0" fontId="1" fillId="0" borderId="25" xfId="24" applyBorder="1">
      <alignment vertical="center"/>
    </xf>
    <xf numFmtId="0" fontId="1" fillId="0" borderId="11" xfId="24" applyBorder="1" applyAlignment="1">
      <alignment horizontal="center" vertical="center"/>
    </xf>
    <xf numFmtId="0" fontId="1" fillId="0" borderId="31" xfId="24" applyBorder="1" applyAlignment="1">
      <alignment horizontal="center" vertical="center"/>
    </xf>
    <xf numFmtId="0" fontId="24" fillId="11" borderId="25" xfId="25" applyFont="1" applyFill="1" applyBorder="1" applyAlignment="1">
      <alignment horizontal="center" vertical="center"/>
    </xf>
    <xf numFmtId="0" fontId="1" fillId="11" borderId="32" xfId="24" applyFill="1" applyBorder="1" applyAlignment="1">
      <alignment horizontal="center" vertical="center"/>
    </xf>
    <xf numFmtId="0" fontId="1" fillId="0" borderId="33" xfId="24" applyBorder="1" applyAlignment="1">
      <alignment horizontal="center" vertical="center"/>
    </xf>
    <xf numFmtId="0" fontId="1" fillId="11" borderId="34" xfId="24" applyFill="1" applyBorder="1" applyAlignment="1">
      <alignment horizontal="center" vertical="center"/>
    </xf>
    <xf numFmtId="0" fontId="1" fillId="11" borderId="66" xfId="24" applyFill="1" applyBorder="1" applyAlignment="1">
      <alignment horizontal="center" vertical="center"/>
    </xf>
    <xf numFmtId="0" fontId="24" fillId="11" borderId="33" xfId="25" applyFont="1" applyFill="1" applyBorder="1" applyAlignment="1">
      <alignment horizontal="center" vertical="center"/>
    </xf>
    <xf numFmtId="0" fontId="1" fillId="0" borderId="34" xfId="24" applyBorder="1" applyAlignment="1">
      <alignment horizontal="center" vertical="center"/>
    </xf>
    <xf numFmtId="0" fontId="21" fillId="0" borderId="69" xfId="24" applyFont="1" applyBorder="1" applyAlignment="1">
      <alignment horizontal="center" vertical="center"/>
    </xf>
    <xf numFmtId="0" fontId="28" fillId="0" borderId="69" xfId="24" applyFont="1" applyBorder="1" applyAlignment="1">
      <alignment horizontal="center" vertical="center"/>
    </xf>
    <xf numFmtId="0" fontId="1" fillId="0" borderId="71" xfId="24" applyBorder="1" applyAlignment="1">
      <alignment horizontal="center" vertical="center"/>
    </xf>
    <xf numFmtId="0" fontId="1" fillId="11" borderId="69" xfId="24" applyFill="1" applyBorder="1" applyAlignment="1">
      <alignment horizontal="center" vertical="center"/>
    </xf>
    <xf numFmtId="0" fontId="1" fillId="5" borderId="69" xfId="24" applyFill="1" applyBorder="1" applyAlignment="1">
      <alignment horizontal="center" vertical="center"/>
    </xf>
    <xf numFmtId="0" fontId="1" fillId="0" borderId="73" xfId="24" applyBorder="1" applyAlignment="1">
      <alignment horizontal="center" vertical="center"/>
    </xf>
    <xf numFmtId="0" fontId="1" fillId="5" borderId="66" xfId="24" applyFill="1" applyBorder="1" applyAlignment="1">
      <alignment horizontal="center" vertical="center"/>
    </xf>
    <xf numFmtId="0" fontId="1" fillId="3" borderId="68" xfId="24" applyFill="1" applyBorder="1" applyAlignment="1">
      <alignment horizontal="center" vertical="center"/>
    </xf>
    <xf numFmtId="0" fontId="1" fillId="11" borderId="33" xfId="24" applyFill="1" applyBorder="1" applyAlignment="1">
      <alignment horizontal="center" vertical="center"/>
    </xf>
    <xf numFmtId="0" fontId="32" fillId="0" borderId="66" xfId="24" applyFont="1" applyBorder="1" applyAlignment="1">
      <alignment horizontal="center" vertical="center"/>
    </xf>
    <xf numFmtId="0" fontId="6" fillId="0" borderId="66" xfId="24" applyFont="1" applyBorder="1" applyAlignment="1">
      <alignment horizontal="center" vertical="center"/>
    </xf>
    <xf numFmtId="0" fontId="28" fillId="0" borderId="66" xfId="24" applyFont="1" applyBorder="1" applyAlignment="1">
      <alignment horizontal="center" vertical="center"/>
    </xf>
    <xf numFmtId="0" fontId="1" fillId="8" borderId="68" xfId="24" applyFill="1" applyBorder="1" applyAlignment="1">
      <alignment horizontal="center" vertical="center"/>
    </xf>
    <xf numFmtId="0" fontId="1" fillId="0" borderId="64" xfId="24" applyBorder="1">
      <alignment vertical="center"/>
    </xf>
    <xf numFmtId="0" fontId="25" fillId="6" borderId="66" xfId="24" applyFont="1" applyFill="1" applyBorder="1" applyAlignment="1">
      <alignment horizontal="center" vertical="center"/>
    </xf>
    <xf numFmtId="0" fontId="56" fillId="11" borderId="66" xfId="24" applyFont="1" applyFill="1" applyBorder="1" applyAlignment="1">
      <alignment horizontal="center" vertical="center"/>
    </xf>
    <xf numFmtId="0" fontId="24" fillId="5" borderId="66" xfId="25" applyFont="1" applyFill="1" applyBorder="1" applyAlignment="1">
      <alignment horizontal="center" vertical="center"/>
    </xf>
    <xf numFmtId="0" fontId="25" fillId="6" borderId="66" xfId="24" applyFont="1" applyFill="1" applyBorder="1">
      <alignment vertical="center"/>
    </xf>
    <xf numFmtId="0" fontId="1" fillId="11" borderId="65" xfId="24" applyFill="1" applyBorder="1" applyAlignment="1">
      <alignment horizontal="center" vertical="center"/>
    </xf>
    <xf numFmtId="0" fontId="58" fillId="0" borderId="66" xfId="24" applyFont="1" applyBorder="1" applyAlignment="1">
      <alignment horizontal="center" vertical="center"/>
    </xf>
    <xf numFmtId="0" fontId="1" fillId="0" borderId="65" xfId="24" applyBorder="1" applyAlignment="1">
      <alignment horizontal="center" vertical="center"/>
    </xf>
    <xf numFmtId="0" fontId="26" fillId="8" borderId="66" xfId="24" applyFont="1" applyFill="1" applyBorder="1" applyAlignment="1">
      <alignment horizontal="center" vertical="center"/>
    </xf>
    <xf numFmtId="0" fontId="1" fillId="8" borderId="65" xfId="24" applyFill="1" applyBorder="1" applyAlignment="1">
      <alignment horizontal="center" vertical="center"/>
    </xf>
    <xf numFmtId="0" fontId="1" fillId="0" borderId="67" xfId="24" applyBorder="1" applyAlignment="1">
      <alignment horizontal="center" vertical="center"/>
    </xf>
    <xf numFmtId="0" fontId="25" fillId="0" borderId="67" xfId="24" applyFont="1" applyBorder="1" applyAlignment="1">
      <alignment horizontal="center" vertical="center"/>
    </xf>
    <xf numFmtId="0" fontId="21" fillId="0" borderId="67" xfId="24" applyFont="1" applyBorder="1">
      <alignment vertical="center"/>
    </xf>
    <xf numFmtId="0" fontId="21" fillId="0" borderId="67" xfId="24" applyFont="1" applyBorder="1" applyAlignment="1">
      <alignment horizontal="center" vertical="center"/>
    </xf>
    <xf numFmtId="0" fontId="1" fillId="0" borderId="67" xfId="24" applyBorder="1">
      <alignment vertical="center"/>
    </xf>
    <xf numFmtId="0" fontId="1" fillId="0" borderId="26" xfId="24" applyBorder="1" applyAlignment="1">
      <alignment horizontal="center" vertical="center"/>
    </xf>
    <xf numFmtId="0" fontId="1" fillId="11" borderId="43" xfId="24" applyFill="1" applyBorder="1" applyAlignment="1">
      <alignment horizontal="center" vertical="center"/>
    </xf>
    <xf numFmtId="0" fontId="1" fillId="0" borderId="27" xfId="24" applyBorder="1" applyAlignment="1">
      <alignment horizontal="center" vertical="center"/>
    </xf>
    <xf numFmtId="0" fontId="1" fillId="0" borderId="44" xfId="24" applyBorder="1" applyAlignment="1">
      <alignment horizontal="center" vertical="center"/>
    </xf>
    <xf numFmtId="0" fontId="47" fillId="5" borderId="21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8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42" fillId="3" borderId="20" xfId="0" applyFont="1" applyFill="1" applyBorder="1" applyAlignment="1">
      <alignment horizontal="center" vertical="center"/>
    </xf>
    <xf numFmtId="0" fontId="42" fillId="3" borderId="52" xfId="0" applyFont="1" applyFill="1" applyBorder="1" applyAlignment="1">
      <alignment horizontal="center" vertical="center"/>
    </xf>
    <xf numFmtId="0" fontId="43" fillId="5" borderId="21" xfId="0" applyFont="1" applyFill="1" applyBorder="1" applyAlignment="1">
      <alignment horizontal="center" vertical="center"/>
    </xf>
    <xf numFmtId="0" fontId="42" fillId="5" borderId="21" xfId="0" applyFont="1" applyFill="1" applyBorder="1" applyAlignment="1">
      <alignment horizontal="center" vertical="center" shrinkToFit="1"/>
    </xf>
    <xf numFmtId="0" fontId="42" fillId="5" borderId="55" xfId="0" applyFont="1" applyFill="1" applyBorder="1" applyAlignment="1">
      <alignment horizontal="center" vertical="center" shrinkToFit="1"/>
    </xf>
    <xf numFmtId="0" fontId="5" fillId="3" borderId="56" xfId="0" applyFont="1" applyFill="1" applyBorder="1" applyAlignment="1">
      <alignment horizontal="center" vertical="center" shrinkToFit="1"/>
    </xf>
    <xf numFmtId="0" fontId="5" fillId="3" borderId="57" xfId="0" applyFont="1" applyFill="1" applyBorder="1" applyAlignment="1">
      <alignment horizontal="center" vertical="center" shrinkToFit="1"/>
    </xf>
    <xf numFmtId="0" fontId="5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4" borderId="59" xfId="0" applyFont="1" applyFill="1" applyBorder="1" applyAlignment="1">
      <alignment horizontal="center" vertical="center"/>
    </xf>
    <xf numFmtId="0" fontId="5" fillId="4" borderId="50" xfId="0" applyFont="1" applyFill="1" applyBorder="1" applyAlignment="1">
      <alignment horizontal="center" vertical="center"/>
    </xf>
    <xf numFmtId="0" fontId="5" fillId="4" borderId="60" xfId="0" applyFont="1" applyFill="1" applyBorder="1" applyAlignment="1">
      <alignment horizontal="center" vertical="center"/>
    </xf>
    <xf numFmtId="0" fontId="42" fillId="3" borderId="5" xfId="0" applyFont="1" applyFill="1" applyBorder="1" applyAlignment="1">
      <alignment horizontal="center" vertical="center" wrapText="1"/>
    </xf>
    <xf numFmtId="0" fontId="42" fillId="3" borderId="7" xfId="0" applyFont="1" applyFill="1" applyBorder="1" applyAlignment="1">
      <alignment horizontal="center" vertical="center" wrapText="1"/>
    </xf>
    <xf numFmtId="0" fontId="42" fillId="3" borderId="20" xfId="0" applyFont="1" applyFill="1" applyBorder="1" applyAlignment="1">
      <alignment horizontal="center" vertical="center" wrapText="1"/>
    </xf>
    <xf numFmtId="0" fontId="42" fillId="3" borderId="52" xfId="0" applyFont="1" applyFill="1" applyBorder="1" applyAlignment="1">
      <alignment horizontal="center" vertical="center" wrapText="1"/>
    </xf>
    <xf numFmtId="0" fontId="5" fillId="3" borderId="49" xfId="0" applyFont="1" applyFill="1" applyBorder="1" applyAlignment="1">
      <alignment horizontal="center"/>
    </xf>
    <xf numFmtId="0" fontId="5" fillId="3" borderId="50" xfId="0" applyFont="1" applyFill="1" applyBorder="1" applyAlignment="1">
      <alignment horizontal="center"/>
    </xf>
    <xf numFmtId="0" fontId="5" fillId="3" borderId="51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31" fontId="5" fillId="0" borderId="4" xfId="0" applyNumberFormat="1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10" fillId="0" borderId="16" xfId="12" applyFont="1" applyBorder="1" applyAlignment="1">
      <alignment horizontal="center" vertical="center"/>
    </xf>
    <xf numFmtId="0" fontId="10" fillId="0" borderId="17" xfId="12" applyFont="1" applyBorder="1" applyAlignment="1">
      <alignment horizontal="center" vertical="center"/>
    </xf>
    <xf numFmtId="0" fontId="10" fillId="0" borderId="18" xfId="12" applyFont="1" applyBorder="1" applyAlignment="1">
      <alignment horizontal="center" vertical="center"/>
    </xf>
    <xf numFmtId="0" fontId="7" fillId="7" borderId="61" xfId="12" applyFont="1" applyFill="1" applyBorder="1" applyAlignment="1">
      <alignment horizontal="center" vertical="center"/>
    </xf>
    <xf numFmtId="0" fontId="7" fillId="7" borderId="62" xfId="12" applyFont="1" applyFill="1" applyBorder="1" applyAlignment="1">
      <alignment horizontal="center" vertical="center"/>
    </xf>
    <xf numFmtId="0" fontId="17" fillId="6" borderId="11" xfId="8" applyFont="1" applyFill="1" applyBorder="1" applyAlignment="1">
      <alignment horizontal="center" vertical="center"/>
    </xf>
    <xf numFmtId="0" fontId="17" fillId="6" borderId="10" xfId="8" applyFont="1" applyFill="1" applyBorder="1" applyAlignment="1">
      <alignment horizontal="center" vertical="center"/>
    </xf>
    <xf numFmtId="0" fontId="17" fillId="0" borderId="5" xfId="8" applyFont="1" applyBorder="1" applyAlignment="1">
      <alignment horizontal="center" vertical="center"/>
    </xf>
    <xf numFmtId="0" fontId="17" fillId="0" borderId="7" xfId="8" applyFont="1" applyBorder="1" applyAlignment="1">
      <alignment horizontal="center" vertical="center"/>
    </xf>
    <xf numFmtId="0" fontId="17" fillId="0" borderId="5" xfId="8" applyFont="1" applyBorder="1" applyAlignment="1">
      <alignment horizontal="center" vertical="center" wrapText="1"/>
    </xf>
    <xf numFmtId="0" fontId="17" fillId="0" borderId="6" xfId="8" applyFont="1" applyBorder="1" applyAlignment="1">
      <alignment horizontal="center" vertical="center" wrapText="1"/>
    </xf>
    <xf numFmtId="0" fontId="17" fillId="0" borderId="7" xfId="8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4" fillId="6" borderId="11" xfId="8" applyFont="1" applyFill="1" applyBorder="1" applyAlignment="1">
      <alignment horizontal="center" vertical="center"/>
    </xf>
    <xf numFmtId="0" fontId="14" fillId="6" borderId="10" xfId="8" applyFont="1" applyFill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18" fillId="0" borderId="65" xfId="0" applyFont="1" applyBorder="1" applyAlignment="1">
      <alignment horizontal="center" vertical="center"/>
    </xf>
    <xf numFmtId="0" fontId="47" fillId="0" borderId="67" xfId="0" applyFont="1" applyBorder="1" applyAlignment="1">
      <alignment horizontal="center" vertical="center"/>
    </xf>
    <xf numFmtId="0" fontId="47" fillId="0" borderId="21" xfId="0" applyFont="1" applyBorder="1" applyAlignment="1">
      <alignment horizontal="center" vertical="center"/>
    </xf>
    <xf numFmtId="0" fontId="47" fillId="0" borderId="25" xfId="0" applyFont="1" applyBorder="1" applyAlignment="1">
      <alignment horizontal="center" vertical="center"/>
    </xf>
    <xf numFmtId="0" fontId="47" fillId="0" borderId="67" xfId="14" applyFont="1" applyBorder="1" applyAlignment="1">
      <alignment horizontal="center" vertical="center"/>
    </xf>
    <xf numFmtId="0" fontId="47" fillId="0" borderId="21" xfId="14" applyFont="1" applyBorder="1" applyAlignment="1">
      <alignment horizontal="center" vertical="center"/>
    </xf>
    <xf numFmtId="0" fontId="47" fillId="0" borderId="25" xfId="14" applyFont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10" borderId="22" xfId="0" applyFont="1" applyFill="1" applyBorder="1" applyAlignment="1">
      <alignment horizontal="center" vertical="center"/>
    </xf>
    <xf numFmtId="0" fontId="6" fillId="10" borderId="23" xfId="0" applyFont="1" applyFill="1" applyBorder="1" applyAlignment="1">
      <alignment horizontal="center" vertical="center"/>
    </xf>
    <xf numFmtId="0" fontId="6" fillId="10" borderId="26" xfId="0" applyFont="1" applyFill="1" applyBorder="1" applyAlignment="1">
      <alignment horizontal="center" vertical="center"/>
    </xf>
    <xf numFmtId="0" fontId="6" fillId="10" borderId="27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10" borderId="28" xfId="0" applyFont="1" applyFill="1" applyBorder="1" applyAlignment="1">
      <alignment horizontal="center" vertical="center"/>
    </xf>
    <xf numFmtId="0" fontId="6" fillId="10" borderId="29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8" borderId="16" xfId="0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/>
    </xf>
    <xf numFmtId="0" fontId="7" fillId="8" borderId="18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8" borderId="46" xfId="0" applyFont="1" applyFill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10" fillId="0" borderId="0" xfId="24" applyFont="1" applyAlignment="1">
      <alignment horizontal="center" vertical="center"/>
    </xf>
    <xf numFmtId="0" fontId="7" fillId="7" borderId="16" xfId="24" applyFont="1" applyFill="1" applyBorder="1" applyAlignment="1">
      <alignment horizontal="center" vertical="center"/>
    </xf>
    <xf numFmtId="0" fontId="7" fillId="7" borderId="17" xfId="24" applyFont="1" applyFill="1" applyBorder="1" applyAlignment="1">
      <alignment horizontal="center" vertical="center"/>
    </xf>
    <xf numFmtId="0" fontId="7" fillId="8" borderId="16" xfId="24" applyFont="1" applyFill="1" applyBorder="1" applyAlignment="1">
      <alignment horizontal="center" vertical="center"/>
    </xf>
    <xf numFmtId="0" fontId="7" fillId="8" borderId="17" xfId="24" applyFont="1" applyFill="1" applyBorder="1" applyAlignment="1">
      <alignment horizontal="center" vertical="center"/>
    </xf>
    <xf numFmtId="0" fontId="7" fillId="8" borderId="18" xfId="24" applyFont="1" applyFill="1" applyBorder="1" applyAlignment="1">
      <alignment horizontal="center" vertical="center"/>
    </xf>
  </cellXfs>
  <cellStyles count="26">
    <cellStyle name="강조색1" xfId="22" builtinId="29"/>
    <cellStyle name="강조색6" xfId="23" builtinId="49"/>
    <cellStyle name="나쁨" xfId="1" builtinId="27"/>
    <cellStyle name="백분율" xfId="18" builtinId="5"/>
    <cellStyle name="보통" xfId="21" builtinId="28"/>
    <cellStyle name="보통 2" xfId="25"/>
    <cellStyle name="쉼표 [0]" xfId="17" builtinId="6"/>
    <cellStyle name="쉼표 [0] 2" xfId="4"/>
    <cellStyle name="쉼표 [0] 3" xfId="5"/>
    <cellStyle name="쉼표 [0] 4" xfId="2"/>
    <cellStyle name="쉼표 [0] 4 4 2" xfId="15"/>
    <cellStyle name="쉼표 [0] 5" xfId="11"/>
    <cellStyle name="좋음" xfId="20" builtinId="26"/>
    <cellStyle name="표준" xfId="0" builtinId="0"/>
    <cellStyle name="표준 2" xfId="3"/>
    <cellStyle name="표준 2 2" xfId="19"/>
    <cellStyle name="표준 26" xfId="24"/>
    <cellStyle name="표준 3" xfId="8"/>
    <cellStyle name="표준 3 2" xfId="10"/>
    <cellStyle name="표준 5" xfId="6"/>
    <cellStyle name="표준 5 2" xfId="7"/>
    <cellStyle name="표준 5 2 2" xfId="9"/>
    <cellStyle name="표준 5 2 3" xfId="12"/>
    <cellStyle name="표준 5 2 3 2" xfId="16"/>
    <cellStyle name="표준 5 2 5 2" xfId="14"/>
    <cellStyle name="표준 9" xfId="13"/>
  </cellStyles>
  <dxfs count="7">
    <dxf>
      <fill>
        <patternFill>
          <bgColor theme="5" tint="0.79998168889431442"/>
        </patternFill>
      </fill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00FF"/>
      </font>
    </dxf>
    <dxf>
      <fill>
        <patternFill>
          <bgColor theme="5" tint="0.79998168889431442"/>
        </patternFill>
      </fill>
    </dxf>
    <dxf>
      <font>
        <b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44450</xdr:colOff>
      <xdr:row>18</xdr:row>
      <xdr:rowOff>56075</xdr:rowOff>
    </xdr:from>
    <xdr:to>
      <xdr:col>8</xdr:col>
      <xdr:colOff>1949450</xdr:colOff>
      <xdr:row>24</xdr:row>
      <xdr:rowOff>227901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54A93D7F-CEC8-48DC-9406-4D23AB834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300" y="9479475"/>
          <a:ext cx="9124950" cy="2838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PC/Desktop/&#50689;&#50629;&#44288;&#47532;/&#51648;&#50669;&#48324;%20&#54617;&#44368;&#44368;&#50977;&#44284;&#51221;&#54200;&#49457;&#50868;&#50689;&#54217;&#44032;&#51088;&#47308;(&#53945;&#49457;&#54868;&#44256;)/marketting/&#50689;&#50629;&#51068;&#48372;/&#50689;&#50629;&#44288;&#47532;/&#52280;&#44256;/&#50689;&#50629;&#44288;&#4753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5_&#51452;&#47928;&#54788;&#54889;\1030_&#51452;&#47928;&#54788;&#54889;_4&#52264;\!!!(&#51452;)&#50472;&#47560;&#49828;-&#54617;&#44368;&#48324;_&#52509;&#54032;&#48324;(24.10.30.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82108\Downloads\2021&#45380;%20&#45824;&#44396;&#44305;&#50669;&#49884;%20&#54617;&#44368;&#50689;&#50629;&#44228;&#54925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massnas\&#50689;&#50629;&#54016;\Users\ssduser\AppData\Local\Microsoft\Windows\INetCache\IE\5V8BB75G\2021&#45380;%20&#45824;&#44396;&#44305;&#50669;&#49884;%20&#54617;&#44368;&#50689;&#50629;&#44228;&#54925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C\Desktop\2021&#45380;%20&#45824;&#44396;&#44305;&#50669;&#49884;%20&#54617;&#44368;&#50689;&#50629;&#44228;&#5492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간일정"/>
      <sheetName val="업무일지"/>
      <sheetName val="금일주요업무"/>
      <sheetName val="현재진행PROJECT"/>
      <sheetName val="전체생산FLOW "/>
      <sheetName val="대상"/>
      <sheetName val="일화"/>
      <sheetName val="퓨어"/>
      <sheetName val="대영"/>
      <sheetName val="결재란"/>
      <sheetName val="전체구매PROCESS"/>
      <sheetName val="입고일정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2보통교과+중"/>
      <sheetName val="보통교과"/>
      <sheetName val="원본"/>
      <sheetName val="Sheet1"/>
      <sheetName val="XLR_NoRangeSheet"/>
    </sheetNames>
    <sheetDataSet>
      <sheetData sheetId="0" refreshError="1"/>
      <sheetData sheetId="1" refreshError="1"/>
      <sheetData sheetId="2" refreshError="1"/>
      <sheetData sheetId="3" refreshError="1"/>
      <sheetData sheetId="4">
        <row r="6">
          <cell r="B6" t="str">
            <v>2024년 07월 01일 ~ 2024년 10월 30일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</sheetNames>
    <sheetDataSet>
      <sheetData sheetId="0">
        <row r="5">
          <cell r="K5">
            <v>2019</v>
          </cell>
          <cell r="L5" t="str">
            <v>일요일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</sheetNames>
    <sheetDataSet>
      <sheetData sheetId="0">
        <row r="5">
          <cell r="K5">
            <v>2019</v>
          </cell>
          <cell r="L5" t="str">
            <v>일요일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</sheetNames>
    <sheetDataSet>
      <sheetData sheetId="0">
        <row r="5">
          <cell r="K5">
            <v>2019</v>
          </cell>
          <cell r="L5" t="str">
            <v>일요일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0"/>
  <sheetViews>
    <sheetView topLeftCell="A15" zoomScaleNormal="100" workbookViewId="0">
      <selection activeCell="G58" sqref="G58"/>
    </sheetView>
  </sheetViews>
  <sheetFormatPr defaultColWidth="9" defaultRowHeight="16.5"/>
  <cols>
    <col min="1" max="1" width="5.5" customWidth="1"/>
    <col min="2" max="2" width="9.5" customWidth="1"/>
    <col min="3" max="3" width="33.375" customWidth="1"/>
    <col min="4" max="4" width="13.75" customWidth="1"/>
    <col min="7" max="7" width="14.25" customWidth="1"/>
    <col min="8" max="8" width="18.5" customWidth="1"/>
    <col min="9" max="9" width="21.625" customWidth="1"/>
    <col min="10" max="10" width="0.75" customWidth="1"/>
    <col min="11" max="11" width="9" customWidth="1"/>
    <col min="12" max="12" width="6.125" style="10" bestFit="1" customWidth="1"/>
    <col min="13" max="13" width="26.75" style="3" bestFit="1" customWidth="1"/>
    <col min="14" max="14" width="12.375" style="3" customWidth="1"/>
    <col min="15" max="16" width="10.625" customWidth="1"/>
    <col min="17" max="17" width="17.625" customWidth="1"/>
    <col min="18" max="18" width="17" customWidth="1"/>
    <col min="19" max="19" width="12.125" customWidth="1"/>
  </cols>
  <sheetData>
    <row r="1" spans="2:13" ht="28.5" customHeight="1" thickTop="1" thickBot="1">
      <c r="B1" s="461" t="s">
        <v>1350</v>
      </c>
      <c r="C1" s="462"/>
      <c r="D1" s="462"/>
      <c r="E1" s="462"/>
      <c r="F1" s="462"/>
      <c r="G1" s="462"/>
      <c r="H1" s="462"/>
      <c r="I1" s="463"/>
    </row>
    <row r="2" spans="2:13" ht="17.25" thickTop="1">
      <c r="B2" s="2"/>
      <c r="C2" s="2"/>
      <c r="D2" s="1"/>
      <c r="E2" s="2"/>
      <c r="F2" s="2"/>
      <c r="G2" s="2"/>
      <c r="H2" s="2"/>
      <c r="I2" s="2"/>
    </row>
    <row r="3" spans="2:13" ht="18.75" customHeight="1">
      <c r="B3" s="464" t="s">
        <v>693</v>
      </c>
      <c r="C3" s="464"/>
      <c r="D3" s="465" t="s">
        <v>1351</v>
      </c>
      <c r="E3" s="466"/>
      <c r="F3" s="466"/>
      <c r="G3" s="466"/>
      <c r="H3" s="466"/>
      <c r="I3" s="466"/>
    </row>
    <row r="4" spans="2:13" ht="18.75" customHeight="1">
      <c r="B4" s="464" t="s">
        <v>694</v>
      </c>
      <c r="C4" s="464"/>
      <c r="D4" s="466" t="s">
        <v>695</v>
      </c>
      <c r="E4" s="466"/>
      <c r="F4" s="466"/>
      <c r="G4" s="466"/>
      <c r="H4" s="466"/>
      <c r="I4" s="466"/>
    </row>
    <row r="5" spans="2:13" ht="18.75" customHeight="1">
      <c r="B5" s="464" t="s">
        <v>696</v>
      </c>
      <c r="C5" s="464"/>
      <c r="D5" s="466" t="s">
        <v>1352</v>
      </c>
      <c r="E5" s="466"/>
      <c r="F5" s="466"/>
      <c r="G5" s="466"/>
      <c r="H5" s="466"/>
      <c r="I5" s="466"/>
    </row>
    <row r="6" spans="2:13" ht="18.75" customHeight="1">
      <c r="B6" s="464" t="s">
        <v>697</v>
      </c>
      <c r="C6" s="464"/>
      <c r="D6" s="18" t="s">
        <v>697</v>
      </c>
      <c r="E6" s="467" t="s">
        <v>698</v>
      </c>
      <c r="F6" s="467"/>
      <c r="G6" s="18" t="s">
        <v>699</v>
      </c>
      <c r="H6" s="467" t="s">
        <v>1353</v>
      </c>
      <c r="I6" s="467"/>
    </row>
    <row r="7" spans="2:13" ht="18.75" customHeight="1">
      <c r="B7" s="464" t="s">
        <v>700</v>
      </c>
      <c r="C7" s="464"/>
      <c r="D7" s="18"/>
      <c r="E7" s="434"/>
      <c r="F7" s="435"/>
      <c r="G7" s="435"/>
      <c r="H7" s="435"/>
      <c r="I7" s="436"/>
    </row>
    <row r="8" spans="2:13" ht="17.25" thickBot="1"/>
    <row r="9" spans="2:13" ht="21" customHeight="1" thickTop="1">
      <c r="B9" s="458" t="s">
        <v>701</v>
      </c>
      <c r="C9" s="459"/>
      <c r="D9" s="459"/>
      <c r="E9" s="459"/>
      <c r="F9" s="460"/>
      <c r="G9" s="274"/>
      <c r="H9" s="2"/>
      <c r="I9" s="275"/>
    </row>
    <row r="10" spans="2:13" ht="21" customHeight="1">
      <c r="B10" s="441" t="s">
        <v>702</v>
      </c>
      <c r="C10" s="441" t="s">
        <v>703</v>
      </c>
      <c r="D10" s="441" t="s">
        <v>704</v>
      </c>
      <c r="E10" s="454" t="s">
        <v>777</v>
      </c>
      <c r="F10" s="455"/>
      <c r="G10" s="456" t="s">
        <v>705</v>
      </c>
      <c r="H10" s="456" t="s">
        <v>706</v>
      </c>
      <c r="I10" s="441" t="s">
        <v>707</v>
      </c>
    </row>
    <row r="11" spans="2:13" ht="21" customHeight="1" thickBot="1">
      <c r="B11" s="442"/>
      <c r="C11" s="442"/>
      <c r="D11" s="442"/>
      <c r="E11" s="276" t="s">
        <v>708</v>
      </c>
      <c r="F11" s="277" t="s">
        <v>709</v>
      </c>
      <c r="G11" s="457"/>
      <c r="H11" s="457"/>
      <c r="I11" s="442"/>
    </row>
    <row r="12" spans="2:13" ht="34.5">
      <c r="B12" s="443" t="s">
        <v>710</v>
      </c>
      <c r="C12" s="278" t="s">
        <v>711</v>
      </c>
      <c r="D12" s="279">
        <v>52</v>
      </c>
      <c r="E12" s="279"/>
      <c r="F12" s="278"/>
      <c r="G12" s="278">
        <v>39</v>
      </c>
      <c r="H12" s="278">
        <f>D12-G12</f>
        <v>13</v>
      </c>
      <c r="I12" s="280">
        <f t="shared" ref="I12:I34" si="0">G12/D12</f>
        <v>0.75</v>
      </c>
      <c r="M12" s="3" t="s">
        <v>712</v>
      </c>
    </row>
    <row r="13" spans="2:13" ht="21" customHeight="1" thickBot="1">
      <c r="B13" s="443"/>
      <c r="C13" s="281" t="s">
        <v>713</v>
      </c>
      <c r="D13" s="282">
        <v>29</v>
      </c>
      <c r="E13" s="282"/>
      <c r="F13" s="281"/>
      <c r="G13" s="281"/>
      <c r="H13" s="278">
        <f>D13-G13</f>
        <v>29</v>
      </c>
      <c r="I13" s="280">
        <f t="shared" si="0"/>
        <v>0</v>
      </c>
    </row>
    <row r="14" spans="2:13" ht="21" customHeight="1" thickTop="1">
      <c r="B14" s="443"/>
      <c r="C14" s="279" t="s">
        <v>714</v>
      </c>
      <c r="D14" s="279">
        <v>35</v>
      </c>
      <c r="E14" s="279"/>
      <c r="F14" s="279"/>
      <c r="G14" s="279">
        <v>15</v>
      </c>
      <c r="H14" s="278">
        <f t="shared" ref="H14:H33" si="1">D14-G14</f>
        <v>20</v>
      </c>
      <c r="I14" s="280">
        <f t="shared" si="0"/>
        <v>0.42857142857142855</v>
      </c>
    </row>
    <row r="15" spans="2:13" ht="21" customHeight="1" thickBot="1">
      <c r="B15" s="443"/>
      <c r="C15" s="282" t="s">
        <v>713</v>
      </c>
      <c r="D15" s="282">
        <v>21</v>
      </c>
      <c r="E15" s="282"/>
      <c r="F15" s="282"/>
      <c r="G15" s="282"/>
      <c r="H15" s="278">
        <f t="shared" si="1"/>
        <v>21</v>
      </c>
      <c r="I15" s="280">
        <f t="shared" si="0"/>
        <v>0</v>
      </c>
    </row>
    <row r="16" spans="2:13" ht="21" customHeight="1" thickTop="1">
      <c r="B16" s="443"/>
      <c r="C16" s="279" t="s">
        <v>715</v>
      </c>
      <c r="D16" s="279">
        <v>39</v>
      </c>
      <c r="E16" s="279"/>
      <c r="F16" s="279"/>
      <c r="G16" s="279">
        <v>18</v>
      </c>
      <c r="H16" s="278">
        <f t="shared" si="1"/>
        <v>21</v>
      </c>
      <c r="I16" s="280">
        <f t="shared" si="0"/>
        <v>0.46153846153846156</v>
      </c>
    </row>
    <row r="17" spans="2:9" ht="21" customHeight="1" thickBot="1">
      <c r="B17" s="443"/>
      <c r="C17" s="282" t="s">
        <v>713</v>
      </c>
      <c r="D17" s="282">
        <v>27</v>
      </c>
      <c r="E17" s="282"/>
      <c r="F17" s="282"/>
      <c r="G17" s="282"/>
      <c r="H17" s="278">
        <f t="shared" si="1"/>
        <v>27</v>
      </c>
      <c r="I17" s="280">
        <f t="shared" si="0"/>
        <v>0</v>
      </c>
    </row>
    <row r="18" spans="2:9" ht="21" customHeight="1" thickTop="1">
      <c r="B18" s="443"/>
      <c r="C18" s="279" t="s">
        <v>716</v>
      </c>
      <c r="D18" s="279">
        <v>45</v>
      </c>
      <c r="E18" s="279"/>
      <c r="F18" s="279"/>
      <c r="G18" s="279">
        <v>24</v>
      </c>
      <c r="H18" s="278">
        <f t="shared" si="1"/>
        <v>21</v>
      </c>
      <c r="I18" s="280">
        <f t="shared" si="0"/>
        <v>0.53333333333333333</v>
      </c>
    </row>
    <row r="19" spans="2:9" ht="21" customHeight="1" thickBot="1">
      <c r="B19" s="443"/>
      <c r="C19" s="282" t="s">
        <v>713</v>
      </c>
      <c r="D19" s="282">
        <v>29</v>
      </c>
      <c r="E19" s="282"/>
      <c r="F19" s="282"/>
      <c r="G19" s="282"/>
      <c r="H19" s="278">
        <f t="shared" si="1"/>
        <v>29</v>
      </c>
      <c r="I19" s="280">
        <f t="shared" si="0"/>
        <v>0</v>
      </c>
    </row>
    <row r="20" spans="2:9" ht="21" customHeight="1" thickTop="1">
      <c r="B20" s="443"/>
      <c r="C20" s="279" t="s">
        <v>717</v>
      </c>
      <c r="D20" s="279">
        <v>31</v>
      </c>
      <c r="E20" s="279"/>
      <c r="F20" s="279"/>
      <c r="G20" s="279">
        <v>16</v>
      </c>
      <c r="H20" s="278">
        <f t="shared" si="1"/>
        <v>15</v>
      </c>
      <c r="I20" s="280">
        <f t="shared" si="0"/>
        <v>0.5161290322580645</v>
      </c>
    </row>
    <row r="21" spans="2:9" ht="21" customHeight="1" thickBot="1">
      <c r="B21" s="443"/>
      <c r="C21" s="282" t="s">
        <v>713</v>
      </c>
      <c r="D21" s="282">
        <v>18</v>
      </c>
      <c r="E21" s="282"/>
      <c r="F21" s="282"/>
      <c r="G21" s="282"/>
      <c r="H21" s="278">
        <f t="shared" si="1"/>
        <v>18</v>
      </c>
      <c r="I21" s="280">
        <f t="shared" si="0"/>
        <v>0</v>
      </c>
    </row>
    <row r="22" spans="2:9" ht="21" customHeight="1" thickTop="1">
      <c r="B22" s="443"/>
      <c r="C22" s="279" t="s">
        <v>718</v>
      </c>
      <c r="D22" s="279">
        <v>52</v>
      </c>
      <c r="E22" s="279"/>
      <c r="F22" s="279"/>
      <c r="G22" s="279">
        <v>28</v>
      </c>
      <c r="H22" s="278">
        <f t="shared" si="1"/>
        <v>24</v>
      </c>
      <c r="I22" s="280">
        <f t="shared" si="0"/>
        <v>0.53846153846153844</v>
      </c>
    </row>
    <row r="23" spans="2:9" ht="21" customHeight="1" thickBot="1">
      <c r="B23" s="283"/>
      <c r="C23" s="284" t="s">
        <v>713</v>
      </c>
      <c r="D23" s="284">
        <v>31</v>
      </c>
      <c r="E23" s="284"/>
      <c r="F23" s="284"/>
      <c r="G23" s="284"/>
      <c r="H23" s="278">
        <f t="shared" si="1"/>
        <v>31</v>
      </c>
      <c r="I23" s="280">
        <f t="shared" si="0"/>
        <v>0</v>
      </c>
    </row>
    <row r="24" spans="2:9" ht="21" customHeight="1">
      <c r="B24" s="444" t="s">
        <v>719</v>
      </c>
      <c r="C24" s="279" t="s">
        <v>720</v>
      </c>
      <c r="D24" s="279">
        <v>41</v>
      </c>
      <c r="E24" s="279"/>
      <c r="F24" s="279">
        <v>5</v>
      </c>
      <c r="G24" s="279">
        <v>25</v>
      </c>
      <c r="H24" s="278">
        <f>D24-G24</f>
        <v>16</v>
      </c>
      <c r="I24" s="280">
        <f t="shared" si="0"/>
        <v>0.6097560975609756</v>
      </c>
    </row>
    <row r="25" spans="2:9" ht="21" customHeight="1" thickBot="1">
      <c r="B25" s="444"/>
      <c r="C25" s="282" t="s">
        <v>713</v>
      </c>
      <c r="D25" s="282">
        <v>27</v>
      </c>
      <c r="E25" s="282"/>
      <c r="F25" s="282"/>
      <c r="G25" s="282">
        <v>1</v>
      </c>
      <c r="H25" s="278">
        <f>D25-G25</f>
        <v>26</v>
      </c>
      <c r="I25" s="280">
        <f t="shared" si="0"/>
        <v>3.7037037037037035E-2</v>
      </c>
    </row>
    <row r="26" spans="2:9" ht="21" customHeight="1" thickTop="1">
      <c r="B26" s="444"/>
      <c r="C26" s="279" t="s">
        <v>721</v>
      </c>
      <c r="D26" s="279">
        <v>18</v>
      </c>
      <c r="E26" s="279"/>
      <c r="F26" s="279"/>
      <c r="G26" s="279">
        <v>5</v>
      </c>
      <c r="H26" s="278">
        <f t="shared" si="1"/>
        <v>13</v>
      </c>
      <c r="I26" s="280">
        <f>G26/D26</f>
        <v>0.27777777777777779</v>
      </c>
    </row>
    <row r="27" spans="2:9" ht="21" customHeight="1" thickBot="1">
      <c r="B27" s="444"/>
      <c r="C27" s="282" t="s">
        <v>713</v>
      </c>
      <c r="D27" s="282">
        <v>11</v>
      </c>
      <c r="E27" s="282"/>
      <c r="F27" s="282"/>
      <c r="G27" s="282"/>
      <c r="H27" s="278">
        <f t="shared" si="1"/>
        <v>11</v>
      </c>
      <c r="I27" s="280">
        <f t="shared" si="0"/>
        <v>0</v>
      </c>
    </row>
    <row r="28" spans="2:9" ht="21" customHeight="1" thickTop="1">
      <c r="B28" s="444"/>
      <c r="C28" s="279" t="s">
        <v>722</v>
      </c>
      <c r="D28" s="279">
        <v>28</v>
      </c>
      <c r="E28" s="279"/>
      <c r="F28" s="279"/>
      <c r="G28" s="279">
        <v>17</v>
      </c>
      <c r="H28" s="278">
        <f t="shared" si="1"/>
        <v>11</v>
      </c>
      <c r="I28" s="280">
        <f t="shared" si="0"/>
        <v>0.6071428571428571</v>
      </c>
    </row>
    <row r="29" spans="2:9" ht="21" customHeight="1" thickBot="1">
      <c r="B29" s="444"/>
      <c r="C29" s="282" t="s">
        <v>713</v>
      </c>
      <c r="D29" s="282">
        <v>16</v>
      </c>
      <c r="E29" s="282"/>
      <c r="F29" s="282"/>
      <c r="G29" s="282"/>
      <c r="H29" s="278">
        <f>D29-G29</f>
        <v>16</v>
      </c>
      <c r="I29" s="280">
        <f t="shared" si="0"/>
        <v>0</v>
      </c>
    </row>
    <row r="30" spans="2:9" ht="21" customHeight="1" thickTop="1">
      <c r="B30" s="444"/>
      <c r="C30" s="279" t="s">
        <v>723</v>
      </c>
      <c r="D30" s="279">
        <v>23</v>
      </c>
      <c r="E30" s="279"/>
      <c r="F30" s="279"/>
      <c r="G30" s="279">
        <v>13</v>
      </c>
      <c r="H30" s="278">
        <f t="shared" si="1"/>
        <v>10</v>
      </c>
      <c r="I30" s="280">
        <f t="shared" si="0"/>
        <v>0.56521739130434778</v>
      </c>
    </row>
    <row r="31" spans="2:9" ht="21" customHeight="1" thickBot="1">
      <c r="B31" s="445"/>
      <c r="C31" s="282" t="s">
        <v>713</v>
      </c>
      <c r="D31" s="282">
        <v>15</v>
      </c>
      <c r="E31" s="282"/>
      <c r="F31" s="282"/>
      <c r="G31" s="282">
        <v>1</v>
      </c>
      <c r="H31" s="278">
        <f>D31-G31</f>
        <v>14</v>
      </c>
      <c r="I31" s="280">
        <f t="shared" si="0"/>
        <v>6.6666666666666666E-2</v>
      </c>
    </row>
    <row r="32" spans="2:9" ht="21" customHeight="1" thickTop="1">
      <c r="B32" s="445"/>
      <c r="C32" s="279" t="s">
        <v>724</v>
      </c>
      <c r="D32" s="279">
        <v>45</v>
      </c>
      <c r="E32" s="279"/>
      <c r="F32" s="279"/>
      <c r="G32" s="279">
        <v>24</v>
      </c>
      <c r="H32" s="278">
        <f t="shared" si="1"/>
        <v>21</v>
      </c>
      <c r="I32" s="280">
        <f t="shared" si="0"/>
        <v>0.53333333333333333</v>
      </c>
    </row>
    <row r="33" spans="2:14" ht="21" customHeight="1" thickBot="1">
      <c r="B33" s="285"/>
      <c r="C33" s="286" t="s">
        <v>713</v>
      </c>
      <c r="D33" s="286">
        <v>30</v>
      </c>
      <c r="E33" s="286"/>
      <c r="F33" s="286"/>
      <c r="G33" s="286">
        <v>1</v>
      </c>
      <c r="H33" s="278">
        <f t="shared" si="1"/>
        <v>29</v>
      </c>
      <c r="I33" s="280">
        <f t="shared" si="0"/>
        <v>3.3333333333333333E-2</v>
      </c>
    </row>
    <row r="34" spans="2:14" ht="21" customHeight="1" thickBot="1">
      <c r="B34" s="446" t="s">
        <v>725</v>
      </c>
      <c r="C34" s="447"/>
      <c r="D34" s="287">
        <f>SUM(D12:D33)</f>
        <v>663</v>
      </c>
      <c r="E34" s="287">
        <f t="shared" ref="E34:G34" si="2">SUM(E12:E33)</f>
        <v>0</v>
      </c>
      <c r="F34" s="287">
        <f>SUM(F12:F33)</f>
        <v>5</v>
      </c>
      <c r="G34" s="287">
        <f t="shared" si="2"/>
        <v>227</v>
      </c>
      <c r="H34" s="287">
        <f>SUM(H12:H33)</f>
        <v>436</v>
      </c>
      <c r="I34" s="288">
        <f t="shared" si="0"/>
        <v>0.34238310708898945</v>
      </c>
    </row>
    <row r="35" spans="2:14" ht="22.5" customHeight="1" thickTop="1" thickBot="1">
      <c r="B35" s="448" t="s">
        <v>1349</v>
      </c>
      <c r="C35" s="449"/>
      <c r="D35" s="449"/>
      <c r="E35" s="449"/>
      <c r="F35" s="450"/>
      <c r="G35" s="9"/>
      <c r="H35" s="4"/>
      <c r="I35" s="5"/>
      <c r="L35" s="11"/>
      <c r="M35" s="12"/>
      <c r="N35" s="12"/>
    </row>
    <row r="36" spans="2:14" ht="20.25" customHeight="1" thickTop="1">
      <c r="B36" s="6" t="s">
        <v>0</v>
      </c>
      <c r="C36" s="7" t="s">
        <v>1</v>
      </c>
      <c r="D36" s="451" t="s">
        <v>726</v>
      </c>
      <c r="E36" s="452"/>
      <c r="F36" s="452"/>
      <c r="G36" s="452"/>
      <c r="H36" s="453"/>
      <c r="I36" s="8" t="s">
        <v>2</v>
      </c>
      <c r="L36" s="11"/>
      <c r="M36" s="12"/>
      <c r="N36" s="12"/>
    </row>
    <row r="37" spans="2:14" ht="18.75" customHeight="1">
      <c r="B37" s="13" t="s">
        <v>1034</v>
      </c>
      <c r="C37" s="14" t="s">
        <v>1037</v>
      </c>
      <c r="D37" s="437" t="s">
        <v>1045</v>
      </c>
      <c r="E37" s="438"/>
      <c r="F37" s="438"/>
      <c r="G37" s="438"/>
      <c r="H37" s="439"/>
      <c r="I37" s="289"/>
    </row>
    <row r="38" spans="2:14" ht="18.75" customHeight="1">
      <c r="B38" s="13" t="s">
        <v>4</v>
      </c>
      <c r="C38" s="14" t="s">
        <v>801</v>
      </c>
      <c r="D38" s="434" t="s">
        <v>1044</v>
      </c>
      <c r="E38" s="435"/>
      <c r="F38" s="435"/>
      <c r="G38" s="435"/>
      <c r="H38" s="436"/>
      <c r="I38" s="290" t="s">
        <v>1049</v>
      </c>
    </row>
    <row r="39" spans="2:14" ht="18" customHeight="1">
      <c r="B39" s="13" t="s">
        <v>5</v>
      </c>
      <c r="C39" s="14" t="s">
        <v>802</v>
      </c>
      <c r="D39" s="434" t="s">
        <v>1048</v>
      </c>
      <c r="E39" s="435"/>
      <c r="F39" s="435"/>
      <c r="G39" s="435"/>
      <c r="H39" s="436"/>
      <c r="I39" s="289" t="s">
        <v>1050</v>
      </c>
    </row>
    <row r="40" spans="2:14" ht="18" customHeight="1">
      <c r="B40" s="13" t="s">
        <v>6</v>
      </c>
      <c r="C40" s="14" t="s">
        <v>803</v>
      </c>
      <c r="D40" s="434" t="s">
        <v>1047</v>
      </c>
      <c r="E40" s="435"/>
      <c r="F40" s="435"/>
      <c r="G40" s="435"/>
      <c r="H40" s="436"/>
      <c r="I40" s="289" t="s">
        <v>1051</v>
      </c>
    </row>
    <row r="41" spans="2:14" ht="18" customHeight="1">
      <c r="B41" s="13" t="s">
        <v>7</v>
      </c>
      <c r="C41" s="14" t="s">
        <v>804</v>
      </c>
      <c r="D41" s="434" t="s">
        <v>1046</v>
      </c>
      <c r="E41" s="435"/>
      <c r="F41" s="435"/>
      <c r="G41" s="435"/>
      <c r="H41" s="436"/>
      <c r="I41" s="289" t="s">
        <v>1049</v>
      </c>
    </row>
    <row r="42" spans="2:14" ht="18" customHeight="1">
      <c r="B42" s="13" t="s">
        <v>1035</v>
      </c>
      <c r="C42" s="14" t="s">
        <v>1038</v>
      </c>
      <c r="D42" s="434" t="s">
        <v>1054</v>
      </c>
      <c r="E42" s="435"/>
      <c r="F42" s="435"/>
      <c r="G42" s="435"/>
      <c r="H42" s="436"/>
      <c r="I42" s="289" t="s">
        <v>1052</v>
      </c>
    </row>
    <row r="43" spans="2:14" ht="18" customHeight="1">
      <c r="B43" s="13" t="s">
        <v>4</v>
      </c>
      <c r="C43" s="14" t="s">
        <v>805</v>
      </c>
      <c r="D43" s="434" t="s">
        <v>814</v>
      </c>
      <c r="E43" s="438"/>
      <c r="F43" s="438"/>
      <c r="G43" s="438"/>
      <c r="H43" s="439"/>
      <c r="I43" s="290" t="s">
        <v>1053</v>
      </c>
    </row>
    <row r="44" spans="2:14" ht="17.25" customHeight="1">
      <c r="B44" s="13" t="s">
        <v>5</v>
      </c>
      <c r="C44" s="14" t="s">
        <v>806</v>
      </c>
      <c r="D44" s="440" t="s">
        <v>1060</v>
      </c>
      <c r="E44" s="435"/>
      <c r="F44" s="435"/>
      <c r="G44" s="435"/>
      <c r="H44" s="436"/>
      <c r="I44" s="290" t="s">
        <v>1062</v>
      </c>
    </row>
    <row r="45" spans="2:14" ht="17.25">
      <c r="B45" s="13" t="s">
        <v>6</v>
      </c>
      <c r="C45" s="14" t="s">
        <v>807</v>
      </c>
      <c r="D45" s="434" t="s">
        <v>1063</v>
      </c>
      <c r="E45" s="435"/>
      <c r="F45" s="435"/>
      <c r="G45" s="435"/>
      <c r="H45" s="436"/>
      <c r="I45" s="290" t="s">
        <v>1062</v>
      </c>
    </row>
    <row r="46" spans="2:14" ht="17.25">
      <c r="B46" s="13" t="s">
        <v>7</v>
      </c>
      <c r="C46" s="14" t="s">
        <v>808</v>
      </c>
      <c r="D46" s="434" t="s">
        <v>1064</v>
      </c>
      <c r="E46" s="435"/>
      <c r="F46" s="435"/>
      <c r="G46" s="435"/>
      <c r="H46" s="436"/>
      <c r="I46" s="289" t="s">
        <v>1062</v>
      </c>
    </row>
    <row r="47" spans="2:14" ht="17.25">
      <c r="B47" s="13" t="s">
        <v>1036</v>
      </c>
      <c r="C47" s="14" t="s">
        <v>1039</v>
      </c>
      <c r="D47" s="434" t="s">
        <v>1341</v>
      </c>
      <c r="E47" s="435"/>
      <c r="F47" s="435"/>
      <c r="G47" s="435"/>
      <c r="H47" s="436"/>
      <c r="I47" s="289" t="s">
        <v>1342</v>
      </c>
    </row>
    <row r="48" spans="2:14" ht="17.25">
      <c r="B48" s="13" t="s">
        <v>4</v>
      </c>
      <c r="C48" s="14" t="s">
        <v>809</v>
      </c>
      <c r="D48" s="434" t="s">
        <v>1343</v>
      </c>
      <c r="E48" s="435"/>
      <c r="F48" s="435"/>
      <c r="G48" s="435"/>
      <c r="H48" s="436"/>
      <c r="I48" s="290" t="s">
        <v>1344</v>
      </c>
    </row>
    <row r="49" spans="2:9" ht="17.25">
      <c r="B49" s="13" t="s">
        <v>5</v>
      </c>
      <c r="C49" s="14" t="s">
        <v>810</v>
      </c>
      <c r="D49" s="434" t="s">
        <v>1345</v>
      </c>
      <c r="E49" s="435"/>
      <c r="F49" s="435"/>
      <c r="G49" s="435"/>
      <c r="H49" s="436"/>
      <c r="I49" s="289" t="s">
        <v>1346</v>
      </c>
    </row>
    <row r="50" spans="2:9" ht="17.25">
      <c r="B50" s="13" t="s">
        <v>6</v>
      </c>
      <c r="C50" s="14" t="s">
        <v>811</v>
      </c>
      <c r="D50" s="434" t="s">
        <v>1347</v>
      </c>
      <c r="E50" s="435"/>
      <c r="F50" s="435"/>
      <c r="G50" s="435"/>
      <c r="H50" s="436"/>
      <c r="I50" s="289" t="s">
        <v>1348</v>
      </c>
    </row>
  </sheetData>
  <mergeCells count="39">
    <mergeCell ref="B9:F9"/>
    <mergeCell ref="B1:I1"/>
    <mergeCell ref="B3:C3"/>
    <mergeCell ref="D3:I3"/>
    <mergeCell ref="B4:C4"/>
    <mergeCell ref="D4:I4"/>
    <mergeCell ref="B5:C5"/>
    <mergeCell ref="D5:I5"/>
    <mergeCell ref="B6:C6"/>
    <mergeCell ref="E6:F6"/>
    <mergeCell ref="H6:I6"/>
    <mergeCell ref="B7:C7"/>
    <mergeCell ref="E7:I7"/>
    <mergeCell ref="D36:H36"/>
    <mergeCell ref="B10:B11"/>
    <mergeCell ref="C10:C11"/>
    <mergeCell ref="D10:D11"/>
    <mergeCell ref="E10:F10"/>
    <mergeCell ref="G10:G11"/>
    <mergeCell ref="H10:H11"/>
    <mergeCell ref="I10:I11"/>
    <mergeCell ref="B12:B22"/>
    <mergeCell ref="B24:B32"/>
    <mergeCell ref="B34:C34"/>
    <mergeCell ref="B35:F35"/>
    <mergeCell ref="D49:H49"/>
    <mergeCell ref="D50:H50"/>
    <mergeCell ref="D48:H48"/>
    <mergeCell ref="D37:H37"/>
    <mergeCell ref="D38:H38"/>
    <mergeCell ref="D39:H39"/>
    <mergeCell ref="D40:H40"/>
    <mergeCell ref="D41:H41"/>
    <mergeCell ref="D42:H42"/>
    <mergeCell ref="D43:H43"/>
    <mergeCell ref="D44:H44"/>
    <mergeCell ref="D45:H45"/>
    <mergeCell ref="D46:H46"/>
    <mergeCell ref="D47:H47"/>
  </mergeCells>
  <phoneticPr fontId="3" type="noConversion"/>
  <pageMargins left="0.31496062992125984" right="0.31496062992125984" top="0.59055118110236227" bottom="0.19685039370078741" header="0.39370078740157483" footer="0.19685039370078741"/>
  <pageSetup paperSize="9" scale="6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9"/>
    <pageSetUpPr fitToPage="1"/>
  </sheetPr>
  <dimension ref="A1:Y55"/>
  <sheetViews>
    <sheetView topLeftCell="A39" zoomScaleNormal="100" workbookViewId="0">
      <selection activeCell="G73" sqref="G73"/>
    </sheetView>
  </sheetViews>
  <sheetFormatPr defaultColWidth="8.875" defaultRowHeight="16.5"/>
  <cols>
    <col min="1" max="1" width="12.625" style="15" customWidth="1"/>
    <col min="2" max="2" width="11.625" style="15" customWidth="1"/>
    <col min="3" max="3" width="23.875" style="15" customWidth="1"/>
    <col min="4" max="4" width="8.875" style="15"/>
    <col min="5" max="6" width="12.125" style="15" customWidth="1"/>
    <col min="7" max="7" width="10.75" style="15" customWidth="1"/>
    <col min="8" max="8" width="15.625" style="15" customWidth="1"/>
    <col min="9" max="9" width="58.75" style="15" customWidth="1"/>
    <col min="10" max="10" width="13.25" style="15" customWidth="1"/>
    <col min="11" max="11" width="10.375" style="15" customWidth="1"/>
    <col min="12" max="12" width="29.25" style="15" customWidth="1"/>
    <col min="13" max="13" width="23.5" style="15" customWidth="1"/>
    <col min="14" max="14" width="9.375" style="15" customWidth="1"/>
    <col min="15" max="15" width="9.625" style="15" customWidth="1"/>
    <col min="16" max="16" width="2.625" style="15" hidden="1" customWidth="1"/>
    <col min="17" max="17" width="13.625" style="15" hidden="1" customWidth="1"/>
    <col min="18" max="19" width="8.5" style="15" customWidth="1"/>
    <col min="20" max="20" width="8.125" style="15" customWidth="1"/>
    <col min="21" max="16384" width="8.875" style="15"/>
  </cols>
  <sheetData>
    <row r="1" spans="1:25" ht="42" customHeight="1" thickBot="1">
      <c r="A1" s="468" t="s">
        <v>8</v>
      </c>
      <c r="B1" s="469"/>
      <c r="C1" s="469"/>
      <c r="D1" s="469"/>
      <c r="E1" s="469"/>
      <c r="F1" s="469"/>
      <c r="G1" s="469"/>
      <c r="H1" s="469"/>
      <c r="I1" s="470"/>
      <c r="K1" s="19"/>
      <c r="L1" s="19"/>
      <c r="M1" s="19"/>
      <c r="N1" s="19"/>
      <c r="O1" s="19"/>
      <c r="P1" s="19"/>
      <c r="Q1" s="19"/>
      <c r="R1" s="19"/>
    </row>
    <row r="2" spans="1:25" ht="35.1" customHeight="1">
      <c r="A2" s="471" t="s">
        <v>9</v>
      </c>
      <c r="B2" s="472"/>
      <c r="C2" s="472"/>
      <c r="J2" s="19"/>
      <c r="K2" s="19"/>
      <c r="L2" s="19"/>
      <c r="M2" s="19"/>
      <c r="N2" s="19"/>
      <c r="O2" s="19"/>
      <c r="P2" s="19"/>
      <c r="Q2" s="19"/>
      <c r="R2" s="19"/>
    </row>
    <row r="3" spans="1:25" ht="35.1" customHeight="1">
      <c r="A3" s="20" t="s">
        <v>799</v>
      </c>
      <c r="B3" s="22"/>
      <c r="C3" s="22"/>
      <c r="D3" s="22"/>
      <c r="E3" s="22"/>
      <c r="F3" s="22"/>
      <c r="G3" s="22"/>
      <c r="H3" s="22"/>
      <c r="I3" s="23"/>
      <c r="S3" s="19"/>
      <c r="T3" s="19"/>
      <c r="U3" s="19"/>
      <c r="V3" s="19"/>
      <c r="W3" s="19"/>
      <c r="X3" s="19"/>
      <c r="Y3" s="19"/>
    </row>
    <row r="4" spans="1:25" ht="35.1" customHeight="1">
      <c r="A4" s="20" t="s">
        <v>1371</v>
      </c>
      <c r="B4" s="22"/>
      <c r="C4" s="22"/>
      <c r="D4" s="22"/>
      <c r="E4" s="22"/>
      <c r="F4" s="22"/>
      <c r="G4" s="22"/>
      <c r="H4" s="22"/>
      <c r="I4" s="23"/>
      <c r="S4" s="19"/>
      <c r="T4" s="19"/>
      <c r="U4" s="19"/>
      <c r="V4" s="19"/>
      <c r="W4" s="19"/>
      <c r="X4" s="19"/>
      <c r="Y4" s="19"/>
    </row>
    <row r="5" spans="1:25" ht="35.1" customHeight="1">
      <c r="A5" s="20" t="s">
        <v>1367</v>
      </c>
      <c r="B5" s="22"/>
      <c r="C5" s="22"/>
      <c r="D5" s="22"/>
      <c r="E5" s="22"/>
      <c r="F5" s="22"/>
      <c r="G5" s="22"/>
      <c r="H5" s="22"/>
      <c r="I5" s="23"/>
      <c r="S5" s="19"/>
      <c r="T5" s="19"/>
      <c r="U5" s="19"/>
      <c r="V5" s="19"/>
      <c r="W5" s="19"/>
      <c r="X5" s="19"/>
      <c r="Y5" s="19"/>
    </row>
    <row r="6" spans="1:25" ht="35.1" customHeight="1">
      <c r="A6" s="347" t="s">
        <v>1368</v>
      </c>
      <c r="B6" s="22"/>
      <c r="C6" s="22"/>
      <c r="D6" s="22"/>
      <c r="E6" s="22"/>
      <c r="F6" s="22"/>
      <c r="G6" s="22"/>
      <c r="H6" s="22"/>
      <c r="I6" s="23"/>
      <c r="S6" s="19"/>
      <c r="T6" s="19"/>
      <c r="U6" s="19"/>
      <c r="V6" s="19"/>
      <c r="W6" s="19"/>
      <c r="X6" s="19"/>
      <c r="Y6" s="19"/>
    </row>
    <row r="7" spans="1:25" ht="35.1" customHeight="1">
      <c r="A7" s="347" t="s">
        <v>1473</v>
      </c>
      <c r="B7" s="341"/>
      <c r="C7" s="341"/>
      <c r="D7" s="341"/>
      <c r="E7" s="341"/>
      <c r="F7" s="341"/>
      <c r="G7" s="341"/>
      <c r="H7" s="341"/>
      <c r="I7" s="342"/>
      <c r="S7" s="19"/>
      <c r="T7" s="19"/>
      <c r="U7" s="19"/>
      <c r="V7" s="19"/>
      <c r="W7" s="19"/>
      <c r="X7" s="19"/>
      <c r="Y7" s="19"/>
    </row>
    <row r="8" spans="1:25" ht="35.1" customHeight="1">
      <c r="A8" s="347" t="s">
        <v>1474</v>
      </c>
      <c r="B8" s="341"/>
      <c r="C8" s="341"/>
      <c r="D8" s="341"/>
      <c r="E8" s="341"/>
      <c r="F8" s="341"/>
      <c r="G8" s="341"/>
      <c r="H8" s="341"/>
      <c r="I8" s="342"/>
      <c r="S8" s="19"/>
      <c r="T8" s="19"/>
      <c r="U8" s="19"/>
      <c r="V8" s="19"/>
      <c r="W8" s="19"/>
      <c r="X8" s="19"/>
      <c r="Y8" s="19"/>
    </row>
    <row r="9" spans="1:25" ht="35.1" customHeight="1">
      <c r="A9" s="347" t="s">
        <v>1475</v>
      </c>
      <c r="B9" s="341"/>
      <c r="C9" s="341"/>
      <c r="D9" s="341"/>
      <c r="E9" s="341"/>
      <c r="F9" s="341"/>
      <c r="G9" s="341"/>
      <c r="H9" s="341"/>
      <c r="I9" s="342"/>
      <c r="S9" s="19"/>
      <c r="T9" s="19"/>
      <c r="U9" s="19"/>
      <c r="V9" s="19"/>
      <c r="W9" s="19"/>
      <c r="X9" s="19"/>
      <c r="Y9" s="19"/>
    </row>
    <row r="10" spans="1:25" ht="35.1" customHeight="1">
      <c r="A10" s="24" t="s">
        <v>794</v>
      </c>
      <c r="B10" s="25"/>
      <c r="C10" s="25"/>
      <c r="D10" s="25"/>
      <c r="E10" s="25"/>
      <c r="F10" s="25"/>
      <c r="G10" s="25"/>
      <c r="H10" s="25"/>
      <c r="I10" s="26"/>
      <c r="T10" s="19"/>
      <c r="U10" s="19"/>
      <c r="V10" s="19"/>
      <c r="W10" s="19"/>
      <c r="X10" s="19"/>
      <c r="Y10" s="19"/>
    </row>
    <row r="11" spans="1:25" ht="35.1" customHeight="1">
      <c r="A11" s="21" t="s">
        <v>795</v>
      </c>
      <c r="B11" s="345"/>
      <c r="C11" s="345"/>
      <c r="D11" s="345"/>
      <c r="E11" s="345"/>
      <c r="F11" s="345"/>
      <c r="G11" s="345"/>
      <c r="H11" s="345"/>
      <c r="I11" s="346"/>
      <c r="T11" s="19"/>
      <c r="U11" s="19"/>
      <c r="V11" s="19"/>
      <c r="W11" s="19"/>
      <c r="X11" s="19"/>
      <c r="Y11" s="19"/>
    </row>
    <row r="12" spans="1:25" ht="35.1" customHeight="1">
      <c r="A12" s="21" t="s">
        <v>796</v>
      </c>
      <c r="B12" s="345"/>
      <c r="C12" s="345"/>
      <c r="D12" s="345"/>
      <c r="E12" s="345"/>
      <c r="F12" s="345"/>
      <c r="G12" s="345"/>
      <c r="H12" s="345"/>
      <c r="I12" s="346"/>
      <c r="T12" s="19"/>
      <c r="U12" s="19"/>
      <c r="V12" s="19"/>
      <c r="W12" s="19"/>
      <c r="X12" s="19"/>
      <c r="Y12" s="19"/>
    </row>
    <row r="13" spans="1:25" ht="35.1" customHeight="1">
      <c r="A13" s="24" t="s">
        <v>1369</v>
      </c>
      <c r="B13" s="345"/>
      <c r="C13" s="345"/>
      <c r="D13" s="345"/>
      <c r="E13" s="345"/>
      <c r="F13" s="345"/>
      <c r="G13" s="345"/>
      <c r="H13" s="345"/>
      <c r="I13" s="346"/>
      <c r="T13" s="19"/>
      <c r="U13" s="19"/>
      <c r="V13" s="19"/>
      <c r="W13" s="19"/>
      <c r="X13" s="19"/>
      <c r="Y13" s="19"/>
    </row>
    <row r="14" spans="1:25" ht="35.1" customHeight="1">
      <c r="A14" s="344" t="s">
        <v>1362</v>
      </c>
      <c r="B14" s="345"/>
      <c r="C14" s="345"/>
      <c r="D14" s="345"/>
      <c r="E14" s="345"/>
      <c r="F14" s="345"/>
      <c r="G14" s="345"/>
      <c r="H14" s="345"/>
      <c r="I14" s="346"/>
      <c r="T14" s="19"/>
      <c r="U14" s="19"/>
      <c r="V14" s="19"/>
      <c r="W14" s="19"/>
      <c r="X14" s="19"/>
      <c r="Y14" s="19"/>
    </row>
    <row r="15" spans="1:25" ht="35.1" customHeight="1">
      <c r="A15" s="340" t="s">
        <v>1363</v>
      </c>
      <c r="B15" s="345"/>
      <c r="C15" s="345"/>
      <c r="D15" s="345"/>
      <c r="E15" s="345"/>
      <c r="F15" s="345"/>
      <c r="G15" s="345"/>
      <c r="H15" s="345"/>
      <c r="I15" s="346"/>
      <c r="T15" s="19"/>
      <c r="U15" s="19"/>
      <c r="V15" s="19"/>
      <c r="W15" s="19"/>
      <c r="X15" s="19"/>
      <c r="Y15" s="19"/>
    </row>
    <row r="16" spans="1:25" ht="35.1" customHeight="1">
      <c r="A16" s="24" t="s">
        <v>1364</v>
      </c>
      <c r="B16" s="25"/>
      <c r="C16" s="25"/>
      <c r="D16" s="25"/>
      <c r="E16" s="25"/>
      <c r="F16" s="25"/>
      <c r="G16" s="25"/>
      <c r="H16" s="25"/>
      <c r="I16" s="26"/>
      <c r="T16" s="19"/>
      <c r="U16" s="19"/>
      <c r="V16" s="19"/>
      <c r="W16" s="19"/>
      <c r="X16" s="19"/>
      <c r="Y16" s="19"/>
    </row>
    <row r="17" spans="1:25" ht="35.1" customHeight="1">
      <c r="A17" s="344" t="s">
        <v>1476</v>
      </c>
      <c r="B17" s="345"/>
      <c r="C17" s="345"/>
      <c r="D17" s="345"/>
      <c r="E17" s="345"/>
      <c r="F17" s="345"/>
      <c r="G17" s="345"/>
      <c r="H17" s="345"/>
      <c r="I17" s="346"/>
      <c r="T17" s="19"/>
      <c r="U17" s="19"/>
      <c r="V17" s="19"/>
      <c r="W17" s="19"/>
      <c r="X17" s="19"/>
      <c r="Y17" s="19"/>
    </row>
    <row r="18" spans="1:25" ht="35.1" customHeight="1">
      <c r="A18" s="344" t="s">
        <v>1365</v>
      </c>
      <c r="B18" s="345"/>
      <c r="C18" s="345"/>
      <c r="D18" s="345"/>
      <c r="E18" s="345"/>
      <c r="F18" s="345"/>
      <c r="G18" s="345"/>
      <c r="H18" s="345"/>
      <c r="I18" s="346"/>
      <c r="T18" s="19"/>
      <c r="U18" s="19"/>
      <c r="V18" s="19"/>
      <c r="W18" s="19"/>
      <c r="X18" s="19"/>
      <c r="Y18" s="19"/>
    </row>
    <row r="19" spans="1:25" ht="35.1" customHeight="1">
      <c r="A19" s="344"/>
      <c r="B19" s="345"/>
      <c r="C19" s="345"/>
      <c r="D19" s="345"/>
      <c r="E19" s="345"/>
      <c r="F19" s="345"/>
      <c r="G19" s="345"/>
      <c r="H19" s="345"/>
      <c r="I19" s="346"/>
      <c r="T19" s="19"/>
      <c r="U19" s="19"/>
      <c r="V19" s="19"/>
      <c r="W19" s="19"/>
      <c r="X19" s="19"/>
      <c r="Y19" s="19"/>
    </row>
    <row r="20" spans="1:25" ht="35.1" customHeight="1">
      <c r="A20" s="344"/>
      <c r="B20" s="345"/>
      <c r="C20" s="345"/>
      <c r="D20" s="345"/>
      <c r="E20" s="345"/>
      <c r="F20" s="345"/>
      <c r="G20" s="345"/>
      <c r="H20" s="345"/>
      <c r="I20" s="346"/>
      <c r="T20" s="19"/>
      <c r="U20" s="19"/>
      <c r="V20" s="19"/>
      <c r="W20" s="19"/>
      <c r="X20" s="19"/>
      <c r="Y20" s="19"/>
    </row>
    <row r="21" spans="1:25" ht="35.1" customHeight="1">
      <c r="A21" s="344"/>
      <c r="B21" s="345"/>
      <c r="C21" s="345"/>
      <c r="D21" s="345"/>
      <c r="E21" s="345"/>
      <c r="F21" s="345"/>
      <c r="G21" s="345"/>
      <c r="H21" s="345"/>
      <c r="I21" s="346"/>
      <c r="T21" s="19"/>
      <c r="U21" s="19"/>
      <c r="V21" s="19"/>
      <c r="W21" s="19"/>
      <c r="X21" s="19"/>
      <c r="Y21" s="19"/>
    </row>
    <row r="22" spans="1:25" ht="35.1" customHeight="1">
      <c r="A22" s="344"/>
      <c r="B22" s="345"/>
      <c r="C22" s="345"/>
      <c r="D22" s="345"/>
      <c r="E22" s="345"/>
      <c r="F22" s="345"/>
      <c r="G22" s="345"/>
      <c r="H22" s="345"/>
      <c r="I22" s="346"/>
      <c r="T22" s="19"/>
      <c r="U22" s="19"/>
      <c r="V22" s="19"/>
      <c r="W22" s="19"/>
      <c r="X22" s="19"/>
      <c r="Y22" s="19"/>
    </row>
    <row r="23" spans="1:25" ht="35.1" customHeight="1">
      <c r="A23" s="344"/>
      <c r="B23" s="345"/>
      <c r="C23" s="345"/>
      <c r="D23" s="345"/>
      <c r="E23" s="345"/>
      <c r="F23" s="345"/>
      <c r="G23" s="345"/>
      <c r="H23" s="345"/>
      <c r="I23" s="346"/>
      <c r="T23" s="19"/>
      <c r="U23" s="19"/>
      <c r="V23" s="19"/>
      <c r="W23" s="19"/>
      <c r="X23" s="19"/>
      <c r="Y23" s="19"/>
    </row>
    <row r="24" spans="1:25" ht="35.1" customHeight="1">
      <c r="A24" s="344" t="s">
        <v>813</v>
      </c>
      <c r="B24" s="345"/>
      <c r="C24" s="345"/>
      <c r="D24" s="345"/>
      <c r="E24" s="345"/>
      <c r="F24" s="345"/>
      <c r="G24" s="345"/>
      <c r="H24"/>
      <c r="I24" s="346"/>
      <c r="T24" s="19"/>
      <c r="U24" s="19"/>
      <c r="V24" s="19"/>
      <c r="W24" s="19"/>
      <c r="X24" s="19"/>
      <c r="Y24" s="19"/>
    </row>
    <row r="25" spans="1:25" ht="35.1" customHeight="1">
      <c r="A25" s="344"/>
      <c r="B25" s="345"/>
      <c r="C25" s="345"/>
      <c r="D25" s="345"/>
      <c r="E25" s="345"/>
      <c r="F25" s="345"/>
      <c r="G25" s="345"/>
      <c r="H25" s="345"/>
      <c r="I25" s="346"/>
      <c r="T25" s="19"/>
      <c r="U25" s="19"/>
      <c r="V25" s="19"/>
      <c r="W25" s="19"/>
      <c r="X25" s="19"/>
      <c r="Y25" s="19"/>
    </row>
    <row r="26" spans="1:25" ht="35.1" customHeight="1">
      <c r="A26" s="24" t="s">
        <v>1471</v>
      </c>
      <c r="B26" s="25"/>
      <c r="C26" s="25"/>
      <c r="D26" s="25"/>
      <c r="E26" s="25"/>
      <c r="F26" s="25"/>
      <c r="G26" s="25"/>
      <c r="H26" s="25"/>
      <c r="I26" s="26"/>
      <c r="T26" s="19"/>
      <c r="U26" s="19"/>
      <c r="V26" s="19"/>
      <c r="W26" s="19"/>
      <c r="X26" s="19"/>
      <c r="Y26" s="19"/>
    </row>
    <row r="27" spans="1:25" ht="35.1" customHeight="1">
      <c r="A27" s="20" t="s">
        <v>1472</v>
      </c>
      <c r="B27" s="25"/>
      <c r="C27" s="25"/>
      <c r="D27" s="25"/>
      <c r="E27" s="25"/>
      <c r="F27" s="25"/>
      <c r="G27" s="25"/>
      <c r="H27" s="25"/>
      <c r="I27" s="26"/>
      <c r="T27" s="19"/>
      <c r="U27" s="19"/>
      <c r="V27" s="19"/>
      <c r="W27" s="19"/>
      <c r="X27" s="19"/>
      <c r="Y27" s="19"/>
    </row>
    <row r="28" spans="1:25" ht="35.1" customHeight="1">
      <c r="A28" s="20" t="s">
        <v>1477</v>
      </c>
      <c r="B28" s="25"/>
      <c r="C28" s="25"/>
      <c r="D28" s="25"/>
      <c r="E28" s="25"/>
      <c r="F28" s="25"/>
      <c r="G28" s="25"/>
      <c r="H28" s="25"/>
      <c r="I28" s="26"/>
      <c r="T28" s="19"/>
      <c r="U28" s="19"/>
      <c r="V28" s="19"/>
      <c r="W28" s="19"/>
      <c r="X28" s="19"/>
      <c r="Y28" s="19"/>
    </row>
    <row r="29" spans="1:25" ht="35.1" customHeight="1">
      <c r="A29" s="347" t="s">
        <v>1478</v>
      </c>
      <c r="B29" s="345"/>
      <c r="C29" s="345"/>
      <c r="D29" s="345"/>
      <c r="E29" s="345"/>
      <c r="F29" s="345"/>
      <c r="G29" s="345"/>
      <c r="H29" s="345"/>
      <c r="I29" s="346"/>
      <c r="T29" s="19"/>
      <c r="U29" s="19"/>
      <c r="V29" s="19"/>
      <c r="W29" s="19"/>
      <c r="X29" s="19"/>
      <c r="Y29" s="19"/>
    </row>
    <row r="30" spans="1:25" ht="35.1" customHeight="1">
      <c r="A30" s="347" t="s">
        <v>798</v>
      </c>
      <c r="B30" s="22"/>
      <c r="C30" s="22"/>
      <c r="D30" s="22"/>
      <c r="E30" s="22"/>
      <c r="F30" s="22"/>
      <c r="G30" s="22"/>
      <c r="H30" s="22"/>
      <c r="I30" s="23"/>
      <c r="S30" s="19"/>
      <c r="T30" s="19"/>
      <c r="U30" s="19"/>
      <c r="V30" s="19"/>
      <c r="W30" s="19"/>
      <c r="X30" s="19"/>
      <c r="Y30" s="19"/>
    </row>
    <row r="31" spans="1:25" ht="35.1" customHeight="1">
      <c r="A31" s="24" t="s">
        <v>1366</v>
      </c>
      <c r="B31" s="22"/>
      <c r="C31" s="22"/>
      <c r="D31" s="22"/>
      <c r="E31" s="22"/>
      <c r="F31" s="22"/>
      <c r="G31" s="22"/>
      <c r="H31" s="22"/>
      <c r="I31" s="23"/>
      <c r="S31" s="19"/>
      <c r="T31" s="19"/>
      <c r="U31" s="19"/>
      <c r="V31" s="19"/>
      <c r="W31" s="19"/>
      <c r="X31" s="19"/>
      <c r="Y31" s="19"/>
    </row>
    <row r="32" spans="1:25" ht="35.1" customHeight="1">
      <c r="A32" s="24" t="s">
        <v>797</v>
      </c>
      <c r="B32" s="22"/>
      <c r="C32" s="22"/>
      <c r="D32" s="22"/>
      <c r="E32" s="22"/>
      <c r="F32" s="22"/>
      <c r="G32" s="22"/>
      <c r="H32"/>
      <c r="I32" s="23"/>
      <c r="S32" s="19"/>
      <c r="T32" s="19"/>
      <c r="U32" s="19"/>
      <c r="V32" s="19"/>
      <c r="W32" s="19"/>
      <c r="X32" s="19"/>
      <c r="Y32" s="19"/>
    </row>
    <row r="33" spans="1:25" ht="35.1" customHeight="1">
      <c r="A33" s="24" t="s">
        <v>1370</v>
      </c>
      <c r="B33" s="22"/>
      <c r="C33" s="22"/>
      <c r="D33" s="22"/>
      <c r="E33" s="22"/>
      <c r="F33" s="22"/>
      <c r="G33" s="22"/>
      <c r="H33" s="22"/>
      <c r="I33" s="23"/>
      <c r="S33" s="19"/>
      <c r="T33" s="19"/>
      <c r="U33" s="19"/>
      <c r="V33" s="19"/>
      <c r="W33" s="19"/>
      <c r="X33" s="19"/>
      <c r="Y33" s="19"/>
    </row>
    <row r="34" spans="1:25" ht="35.1" customHeight="1">
      <c r="A34" s="473" t="s">
        <v>752</v>
      </c>
      <c r="B34" s="474"/>
      <c r="C34" s="474"/>
      <c r="D34" s="301"/>
      <c r="E34" s="301"/>
      <c r="F34" s="301"/>
      <c r="G34" s="301"/>
      <c r="H34" s="301"/>
      <c r="I34" s="302"/>
      <c r="T34" s="19"/>
      <c r="U34" s="19"/>
      <c r="V34" s="19"/>
      <c r="W34" s="19"/>
      <c r="X34" s="19"/>
      <c r="Y34" s="19"/>
    </row>
    <row r="35" spans="1:25" ht="35.1" customHeight="1">
      <c r="A35" s="475" t="s">
        <v>754</v>
      </c>
      <c r="B35" s="476"/>
      <c r="C35" s="303" t="s">
        <v>751</v>
      </c>
      <c r="D35" s="477" t="s">
        <v>753</v>
      </c>
      <c r="E35" s="478"/>
      <c r="F35" s="478"/>
      <c r="G35" s="478"/>
      <c r="H35" s="479"/>
      <c r="I35" s="304" t="s">
        <v>755</v>
      </c>
      <c r="T35" s="19"/>
      <c r="U35" s="19"/>
      <c r="V35" s="19"/>
      <c r="W35" s="19"/>
      <c r="X35" s="19"/>
      <c r="Y35" s="19"/>
    </row>
    <row r="36" spans="1:25" ht="35.1" customHeight="1">
      <c r="A36" s="475" t="s">
        <v>754</v>
      </c>
      <c r="B36" s="476"/>
      <c r="C36" s="303" t="s">
        <v>748</v>
      </c>
      <c r="D36" s="477" t="s">
        <v>756</v>
      </c>
      <c r="E36" s="478"/>
      <c r="F36" s="478"/>
      <c r="G36" s="478"/>
      <c r="H36" s="479"/>
      <c r="I36" s="304" t="s">
        <v>757</v>
      </c>
      <c r="T36" s="19"/>
      <c r="U36" s="19"/>
      <c r="V36" s="19"/>
      <c r="W36" s="19"/>
      <c r="X36" s="19"/>
      <c r="Y36" s="19"/>
    </row>
    <row r="37" spans="1:25" ht="35.1" customHeight="1">
      <c r="A37" s="475" t="s">
        <v>754</v>
      </c>
      <c r="B37" s="476"/>
      <c r="C37" s="303" t="s">
        <v>758</v>
      </c>
      <c r="D37" s="477" t="s">
        <v>756</v>
      </c>
      <c r="E37" s="478"/>
      <c r="F37" s="478"/>
      <c r="G37" s="478"/>
      <c r="H37" s="479"/>
      <c r="I37" s="304" t="s">
        <v>761</v>
      </c>
      <c r="T37" s="19"/>
      <c r="U37" s="19"/>
      <c r="V37" s="19"/>
      <c r="W37" s="19"/>
      <c r="X37" s="19"/>
      <c r="Y37" s="19"/>
    </row>
    <row r="38" spans="1:25" ht="35.1" customHeight="1">
      <c r="A38" s="475" t="s">
        <v>754</v>
      </c>
      <c r="B38" s="476"/>
      <c r="C38" s="303" t="s">
        <v>759</v>
      </c>
      <c r="D38" s="477" t="s">
        <v>776</v>
      </c>
      <c r="E38" s="478"/>
      <c r="F38" s="478"/>
      <c r="G38" s="478"/>
      <c r="H38" s="479"/>
      <c r="I38" s="304" t="s">
        <v>760</v>
      </c>
      <c r="T38" s="19"/>
      <c r="U38" s="19"/>
      <c r="V38" s="19"/>
      <c r="W38" s="19"/>
      <c r="X38" s="19"/>
      <c r="Y38" s="19"/>
    </row>
    <row r="39" spans="1:25" ht="35.1" customHeight="1">
      <c r="A39" s="475" t="s">
        <v>764</v>
      </c>
      <c r="B39" s="476"/>
      <c r="C39" s="303" t="s">
        <v>750</v>
      </c>
      <c r="D39" s="477" t="s">
        <v>762</v>
      </c>
      <c r="E39" s="478"/>
      <c r="F39" s="478"/>
      <c r="G39" s="478"/>
      <c r="H39" s="479"/>
      <c r="I39" s="304" t="s">
        <v>763</v>
      </c>
      <c r="T39" s="19"/>
      <c r="U39" s="19"/>
      <c r="V39" s="19"/>
      <c r="W39" s="19"/>
      <c r="X39" s="19"/>
      <c r="Y39" s="19"/>
    </row>
    <row r="40" spans="1:25" ht="35.1" customHeight="1">
      <c r="A40" s="475" t="s">
        <v>765</v>
      </c>
      <c r="B40" s="476"/>
      <c r="C40" s="303" t="s">
        <v>766</v>
      </c>
      <c r="D40" s="477" t="s">
        <v>767</v>
      </c>
      <c r="E40" s="478"/>
      <c r="F40" s="478"/>
      <c r="G40" s="478"/>
      <c r="H40" s="479"/>
      <c r="I40" s="304" t="s">
        <v>768</v>
      </c>
      <c r="T40" s="19"/>
      <c r="U40" s="19"/>
      <c r="V40" s="19"/>
      <c r="W40" s="19"/>
      <c r="X40" s="19"/>
      <c r="Y40" s="19"/>
    </row>
    <row r="41" spans="1:25" ht="35.1" customHeight="1">
      <c r="A41" s="475" t="s">
        <v>769</v>
      </c>
      <c r="B41" s="476"/>
      <c r="C41" s="303" t="s">
        <v>770</v>
      </c>
      <c r="D41" s="477" t="s">
        <v>753</v>
      </c>
      <c r="E41" s="478"/>
      <c r="F41" s="478"/>
      <c r="G41" s="478"/>
      <c r="H41" s="479"/>
      <c r="I41" s="304" t="s">
        <v>772</v>
      </c>
      <c r="T41" s="19"/>
      <c r="U41" s="19"/>
      <c r="V41" s="19"/>
      <c r="W41" s="19"/>
      <c r="X41" s="19"/>
      <c r="Y41" s="19"/>
    </row>
    <row r="42" spans="1:25" ht="35.1" customHeight="1">
      <c r="A42" s="475" t="s">
        <v>769</v>
      </c>
      <c r="B42" s="476"/>
      <c r="C42" s="306" t="s">
        <v>750</v>
      </c>
      <c r="D42" s="477" t="s">
        <v>762</v>
      </c>
      <c r="E42" s="478"/>
      <c r="F42" s="478"/>
      <c r="G42" s="478"/>
      <c r="H42" s="479"/>
      <c r="I42" s="304" t="s">
        <v>771</v>
      </c>
      <c r="T42" s="19"/>
      <c r="U42" s="19"/>
      <c r="V42" s="19"/>
      <c r="W42" s="19"/>
      <c r="X42" s="19"/>
      <c r="Y42" s="19"/>
    </row>
    <row r="43" spans="1:25" ht="52.5">
      <c r="A43" s="475" t="s">
        <v>764</v>
      </c>
      <c r="B43" s="476"/>
      <c r="C43" s="303" t="s">
        <v>773</v>
      </c>
      <c r="D43" s="477" t="s">
        <v>774</v>
      </c>
      <c r="E43" s="478"/>
      <c r="F43" s="478"/>
      <c r="G43" s="478"/>
      <c r="H43" s="479"/>
      <c r="I43" s="304" t="s">
        <v>775</v>
      </c>
      <c r="T43" s="19"/>
      <c r="U43" s="19"/>
      <c r="V43" s="19"/>
      <c r="W43" s="19"/>
      <c r="X43" s="19"/>
      <c r="Y43" s="19"/>
    </row>
    <row r="44" spans="1:25" ht="34.5" customHeight="1">
      <c r="A44" s="475" t="s">
        <v>1354</v>
      </c>
      <c r="B44" s="476"/>
      <c r="C44" s="303" t="s">
        <v>1081</v>
      </c>
      <c r="D44" s="477" t="s">
        <v>776</v>
      </c>
      <c r="E44" s="478"/>
      <c r="F44" s="478"/>
      <c r="G44" s="478"/>
      <c r="H44" s="479"/>
      <c r="I44" s="304" t="s">
        <v>1355</v>
      </c>
      <c r="T44" s="19"/>
      <c r="U44" s="19"/>
      <c r="V44" s="19"/>
      <c r="W44" s="19"/>
      <c r="X44" s="19"/>
      <c r="Y44" s="19"/>
    </row>
    <row r="45" spans="1:25" ht="33" customHeight="1">
      <c r="A45" s="483" t="s">
        <v>3</v>
      </c>
      <c r="B45" s="484"/>
      <c r="C45" s="484"/>
      <c r="D45" s="16"/>
      <c r="E45" s="16"/>
      <c r="F45" s="16"/>
      <c r="G45" s="16"/>
      <c r="H45" s="16"/>
      <c r="I45" s="17"/>
    </row>
    <row r="46" spans="1:25" ht="33" customHeight="1">
      <c r="A46" s="27" t="s">
        <v>800</v>
      </c>
      <c r="B46" s="28" t="s">
        <v>1040</v>
      </c>
      <c r="C46" s="480" t="s">
        <v>1479</v>
      </c>
      <c r="D46" s="481"/>
      <c r="E46" s="481"/>
      <c r="F46" s="481"/>
      <c r="G46" s="481"/>
      <c r="H46" s="482"/>
      <c r="I46" s="296" t="s">
        <v>1480</v>
      </c>
    </row>
    <row r="47" spans="1:25" s="29" customFormat="1" ht="27.95" customHeight="1">
      <c r="A47" s="27" t="s">
        <v>4</v>
      </c>
      <c r="B47" s="28" t="s">
        <v>1356</v>
      </c>
      <c r="C47" s="480" t="s">
        <v>1481</v>
      </c>
      <c r="D47" s="481"/>
      <c r="E47" s="481"/>
      <c r="F47" s="481"/>
      <c r="G47" s="481"/>
      <c r="H47" s="482"/>
      <c r="I47" s="296" t="s">
        <v>1482</v>
      </c>
    </row>
    <row r="48" spans="1:25" s="29" customFormat="1" ht="27.95" customHeight="1">
      <c r="A48" s="27" t="s">
        <v>5</v>
      </c>
      <c r="B48" s="28" t="s">
        <v>1041</v>
      </c>
      <c r="C48" s="485" t="s">
        <v>1483</v>
      </c>
      <c r="D48" s="486"/>
      <c r="E48" s="486"/>
      <c r="F48" s="486"/>
      <c r="G48" s="486"/>
      <c r="H48" s="487"/>
      <c r="I48" s="296" t="s">
        <v>1484</v>
      </c>
    </row>
    <row r="49" spans="1:9" s="29" customFormat="1" ht="27.95" customHeight="1">
      <c r="A49" s="27" t="s">
        <v>6</v>
      </c>
      <c r="B49" s="28" t="s">
        <v>1042</v>
      </c>
      <c r="C49" s="480" t="s">
        <v>1485</v>
      </c>
      <c r="D49" s="481"/>
      <c r="E49" s="481"/>
      <c r="F49" s="481"/>
      <c r="G49" s="481"/>
      <c r="H49" s="482"/>
      <c r="I49" s="296" t="s">
        <v>1486</v>
      </c>
    </row>
    <row r="50" spans="1:9" s="29" customFormat="1" ht="27.95" customHeight="1">
      <c r="A50" s="27" t="s">
        <v>7</v>
      </c>
      <c r="B50" s="28" t="s">
        <v>1043</v>
      </c>
      <c r="C50" s="480" t="s">
        <v>1487</v>
      </c>
      <c r="D50" s="481"/>
      <c r="E50" s="481"/>
      <c r="F50" s="481"/>
      <c r="G50" s="481"/>
      <c r="H50" s="482"/>
      <c r="I50" s="296" t="s">
        <v>1488</v>
      </c>
    </row>
    <row r="51" spans="1:9" s="29" customFormat="1" ht="27.95" customHeight="1">
      <c r="A51" s="27" t="s">
        <v>812</v>
      </c>
      <c r="B51" s="28" t="s">
        <v>1357</v>
      </c>
      <c r="C51" s="480" t="s">
        <v>1489</v>
      </c>
      <c r="D51" s="481"/>
      <c r="E51" s="481"/>
      <c r="F51" s="481"/>
      <c r="G51" s="481"/>
      <c r="H51" s="482"/>
      <c r="I51" s="296" t="s">
        <v>1490</v>
      </c>
    </row>
    <row r="52" spans="1:9" s="29" customFormat="1" ht="27.95" customHeight="1">
      <c r="A52" s="27" t="s">
        <v>4</v>
      </c>
      <c r="B52" s="28" t="s">
        <v>1358</v>
      </c>
      <c r="C52" s="480" t="s">
        <v>1491</v>
      </c>
      <c r="D52" s="481"/>
      <c r="E52" s="481"/>
      <c r="F52" s="481"/>
      <c r="G52" s="481"/>
      <c r="H52" s="482"/>
      <c r="I52" s="296" t="s">
        <v>1492</v>
      </c>
    </row>
    <row r="53" spans="1:9" s="29" customFormat="1" ht="27.95" customHeight="1">
      <c r="A53" s="27" t="s">
        <v>5</v>
      </c>
      <c r="B53" s="28" t="s">
        <v>1359</v>
      </c>
      <c r="C53" s="480" t="s">
        <v>1493</v>
      </c>
      <c r="D53" s="481"/>
      <c r="E53" s="481"/>
      <c r="F53" s="481"/>
      <c r="G53" s="481"/>
      <c r="H53" s="482"/>
      <c r="I53" s="296" t="s">
        <v>1494</v>
      </c>
    </row>
    <row r="54" spans="1:9" s="29" customFormat="1" ht="27.95" customHeight="1">
      <c r="A54" s="27" t="s">
        <v>6</v>
      </c>
      <c r="B54" s="28" t="s">
        <v>1360</v>
      </c>
      <c r="C54" s="480" t="s">
        <v>1495</v>
      </c>
      <c r="D54" s="481"/>
      <c r="E54" s="481"/>
      <c r="F54" s="481"/>
      <c r="G54" s="481"/>
      <c r="H54" s="482"/>
      <c r="I54" s="296" t="s">
        <v>1497</v>
      </c>
    </row>
    <row r="55" spans="1:9" s="29" customFormat="1" ht="27.95" customHeight="1">
      <c r="A55" s="27" t="s">
        <v>7</v>
      </c>
      <c r="B55" s="28" t="s">
        <v>1361</v>
      </c>
      <c r="C55" s="480" t="s">
        <v>1496</v>
      </c>
      <c r="D55" s="481"/>
      <c r="E55" s="481"/>
      <c r="F55" s="481"/>
      <c r="G55" s="481"/>
      <c r="H55" s="482"/>
      <c r="I55" s="296" t="s">
        <v>1498</v>
      </c>
    </row>
  </sheetData>
  <mergeCells count="34">
    <mergeCell ref="C55:H55"/>
    <mergeCell ref="A43:B43"/>
    <mergeCell ref="D43:H43"/>
    <mergeCell ref="C52:H52"/>
    <mergeCell ref="C53:H53"/>
    <mergeCell ref="C54:H54"/>
    <mergeCell ref="C51:H51"/>
    <mergeCell ref="A45:C45"/>
    <mergeCell ref="C48:H48"/>
    <mergeCell ref="C49:H49"/>
    <mergeCell ref="C50:H50"/>
    <mergeCell ref="C47:H47"/>
    <mergeCell ref="C46:H46"/>
    <mergeCell ref="A36:B36"/>
    <mergeCell ref="D36:H36"/>
    <mergeCell ref="A37:B37"/>
    <mergeCell ref="D37:H37"/>
    <mergeCell ref="A44:B44"/>
    <mergeCell ref="A38:B38"/>
    <mergeCell ref="D38:H38"/>
    <mergeCell ref="A40:B40"/>
    <mergeCell ref="D40:H40"/>
    <mergeCell ref="A41:B41"/>
    <mergeCell ref="D41:H41"/>
    <mergeCell ref="D44:H44"/>
    <mergeCell ref="D39:H39"/>
    <mergeCell ref="A39:B39"/>
    <mergeCell ref="A42:B42"/>
    <mergeCell ref="D42:H42"/>
    <mergeCell ref="A1:I1"/>
    <mergeCell ref="A2:C2"/>
    <mergeCell ref="A34:C34"/>
    <mergeCell ref="A35:B35"/>
    <mergeCell ref="D35:H35"/>
  </mergeCells>
  <phoneticPr fontId="3" type="noConversion"/>
  <pageMargins left="0.24" right="0.19" top="0.21" bottom="0.24" header="0.03" footer="0.04"/>
  <pageSetup paperSize="9" scale="55" fitToHeight="0" orientation="portrait" r:id="rId1"/>
  <rowBreaks count="1" manualBreakCount="1">
    <brk id="33" max="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N706"/>
  <sheetViews>
    <sheetView tabSelected="1" view="pageBreakPreview" topLeftCell="A253" zoomScale="90" zoomScaleNormal="100" zoomScaleSheetLayoutView="90" workbookViewId="0">
      <selection activeCell="G504" sqref="G504"/>
    </sheetView>
  </sheetViews>
  <sheetFormatPr defaultColWidth="9" defaultRowHeight="16.5"/>
  <cols>
    <col min="1" max="1" width="6.875" style="295" customWidth="1"/>
    <col min="2" max="2" width="9" style="295" customWidth="1"/>
    <col min="3" max="3" width="8.25" style="295" customWidth="1"/>
    <col min="4" max="4" width="7.875" style="295" customWidth="1"/>
    <col min="5" max="5" width="7.125" style="295" customWidth="1"/>
    <col min="6" max="6" width="7.5" style="295" customWidth="1"/>
    <col min="7" max="7" width="7.375" style="295" customWidth="1"/>
    <col min="8" max="8" width="8" style="295" customWidth="1"/>
    <col min="9" max="9" width="10" style="295" customWidth="1"/>
    <col min="10" max="10" width="12.875" style="295" customWidth="1"/>
    <col min="11" max="11" width="12.375" style="295" customWidth="1"/>
    <col min="12" max="12" width="12" style="295" customWidth="1"/>
    <col min="13" max="13" width="11.5" style="295" customWidth="1"/>
    <col min="14" max="14" width="20.5" style="295" customWidth="1"/>
    <col min="15" max="16384" width="9" style="19"/>
  </cols>
  <sheetData>
    <row r="1" spans="1:14" ht="20.25" customHeight="1">
      <c r="A1" s="291"/>
      <c r="B1" s="291"/>
      <c r="C1" s="291"/>
      <c r="D1" s="291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21" customHeight="1">
      <c r="A2" s="310" t="s">
        <v>778</v>
      </c>
      <c r="B2" s="310" t="s">
        <v>779</v>
      </c>
      <c r="C2" s="310" t="s">
        <v>729</v>
      </c>
      <c r="D2" s="311" t="s">
        <v>730</v>
      </c>
      <c r="E2" s="312" t="s">
        <v>731</v>
      </c>
      <c r="F2" s="313" t="s">
        <v>780</v>
      </c>
      <c r="G2" s="313" t="s">
        <v>781</v>
      </c>
      <c r="H2" s="313" t="s">
        <v>734</v>
      </c>
      <c r="I2" s="314" t="s">
        <v>459</v>
      </c>
      <c r="J2" s="315" t="s">
        <v>782</v>
      </c>
      <c r="K2" s="315" t="s">
        <v>783</v>
      </c>
      <c r="L2" s="315" t="s">
        <v>460</v>
      </c>
      <c r="M2" s="315" t="s">
        <v>18</v>
      </c>
      <c r="N2" s="315" t="s">
        <v>735</v>
      </c>
    </row>
    <row r="3" spans="1:14" ht="21" customHeight="1">
      <c r="A3" s="488" t="s">
        <v>1065</v>
      </c>
      <c r="B3" s="343"/>
      <c r="C3" s="316" t="s">
        <v>736</v>
      </c>
      <c r="D3" s="317">
        <v>130</v>
      </c>
      <c r="E3" s="318" t="s">
        <v>1068</v>
      </c>
      <c r="F3" s="318" t="s">
        <v>1067</v>
      </c>
      <c r="G3" s="318"/>
      <c r="H3" s="318" t="s">
        <v>1070</v>
      </c>
      <c r="I3" s="319" t="s">
        <v>737</v>
      </c>
      <c r="J3" s="320" t="s">
        <v>1073</v>
      </c>
      <c r="K3" s="321"/>
      <c r="L3" s="320" t="s">
        <v>1072</v>
      </c>
      <c r="M3" s="321" t="s">
        <v>1071</v>
      </c>
      <c r="N3" s="320"/>
    </row>
    <row r="4" spans="1:14" ht="21" customHeight="1">
      <c r="A4" s="489"/>
      <c r="B4" s="292" t="s">
        <v>1066</v>
      </c>
      <c r="C4" s="318" t="s">
        <v>784</v>
      </c>
      <c r="D4" s="317">
        <v>135</v>
      </c>
      <c r="E4" s="317"/>
      <c r="F4" s="318"/>
      <c r="G4" s="318"/>
      <c r="H4" s="318"/>
      <c r="I4" s="322" t="s">
        <v>785</v>
      </c>
      <c r="J4" s="323" t="s">
        <v>815</v>
      </c>
      <c r="K4" s="323" t="s">
        <v>815</v>
      </c>
      <c r="L4" s="323" t="s">
        <v>815</v>
      </c>
      <c r="M4" s="323" t="s">
        <v>815</v>
      </c>
      <c r="N4" s="324"/>
    </row>
    <row r="5" spans="1:14" ht="21" customHeight="1">
      <c r="A5" s="489"/>
      <c r="B5" s="292" t="s">
        <v>747</v>
      </c>
      <c r="C5" s="318" t="s">
        <v>786</v>
      </c>
      <c r="D5" s="318">
        <v>154</v>
      </c>
      <c r="E5" s="318"/>
      <c r="F5" s="318"/>
      <c r="G5" s="318"/>
      <c r="H5" s="318"/>
      <c r="I5" s="322" t="s">
        <v>787</v>
      </c>
      <c r="J5" s="325" t="s">
        <v>1055</v>
      </c>
      <c r="K5" s="325" t="s">
        <v>1056</v>
      </c>
      <c r="L5" s="325" t="s">
        <v>1056</v>
      </c>
      <c r="M5" s="326" t="s">
        <v>1058</v>
      </c>
      <c r="N5" s="323"/>
    </row>
    <row r="6" spans="1:14" ht="21" customHeight="1">
      <c r="A6" s="490"/>
      <c r="B6" s="293"/>
      <c r="C6" s="327" t="s">
        <v>788</v>
      </c>
      <c r="D6" s="328">
        <f>SUM(D3:D5)</f>
        <v>419</v>
      </c>
      <c r="E6" s="329"/>
      <c r="F6" s="329"/>
      <c r="G6" s="329"/>
      <c r="H6" s="329"/>
      <c r="I6" s="322" t="s">
        <v>789</v>
      </c>
      <c r="J6" s="325" t="s">
        <v>1059</v>
      </c>
      <c r="K6" s="326" t="s">
        <v>1057</v>
      </c>
      <c r="L6" s="326" t="s">
        <v>1057</v>
      </c>
      <c r="M6" s="326" t="s">
        <v>1057</v>
      </c>
      <c r="N6" s="323"/>
    </row>
    <row r="7" spans="1:14" ht="21" customHeight="1">
      <c r="A7" s="323" t="s">
        <v>744</v>
      </c>
      <c r="B7" s="330"/>
      <c r="C7" s="331"/>
      <c r="D7" s="332"/>
      <c r="E7" s="332"/>
      <c r="F7" s="332"/>
      <c r="G7" s="332" t="s">
        <v>1069</v>
      </c>
      <c r="H7" s="332"/>
      <c r="I7" s="322" t="s">
        <v>745</v>
      </c>
      <c r="J7" s="294" t="s">
        <v>749</v>
      </c>
      <c r="K7" s="294" t="s">
        <v>749</v>
      </c>
      <c r="L7" s="294" t="s">
        <v>749</v>
      </c>
      <c r="M7" s="294"/>
      <c r="N7" s="323"/>
    </row>
    <row r="8" spans="1:14" ht="21" customHeight="1">
      <c r="A8" s="491" t="s">
        <v>790</v>
      </c>
      <c r="B8" s="333" t="s">
        <v>1136</v>
      </c>
      <c r="C8" s="334"/>
      <c r="D8" s="334"/>
      <c r="E8" s="334"/>
      <c r="F8" s="334"/>
      <c r="G8" s="334"/>
      <c r="H8" s="334"/>
      <c r="I8" s="334"/>
      <c r="J8" s="335"/>
      <c r="K8" s="336"/>
      <c r="L8" s="336"/>
      <c r="M8" s="336"/>
      <c r="N8" s="309"/>
    </row>
    <row r="9" spans="1:14" ht="21" customHeight="1">
      <c r="A9" s="492"/>
      <c r="B9" s="307" t="s">
        <v>1137</v>
      </c>
      <c r="C9" s="334"/>
      <c r="D9" s="334"/>
      <c r="E9" s="334"/>
      <c r="F9" s="334"/>
      <c r="G9" s="334"/>
      <c r="H9" s="334"/>
      <c r="I9" s="334"/>
      <c r="J9" s="334"/>
      <c r="K9" s="334"/>
      <c r="L9" s="334"/>
      <c r="M9" s="334"/>
      <c r="N9" s="337"/>
    </row>
    <row r="10" spans="1:14" ht="21" customHeight="1">
      <c r="A10" s="492"/>
      <c r="B10" s="307" t="s">
        <v>1138</v>
      </c>
      <c r="C10" s="308"/>
      <c r="D10" s="308"/>
      <c r="E10" s="308"/>
      <c r="F10" s="308"/>
      <c r="G10" s="308"/>
      <c r="H10" s="308"/>
      <c r="I10" s="308"/>
      <c r="J10" s="308"/>
      <c r="K10" s="308"/>
      <c r="L10" s="308"/>
      <c r="M10" s="308"/>
      <c r="N10" s="309"/>
    </row>
    <row r="11" spans="1:14" ht="21" customHeight="1">
      <c r="A11" s="492"/>
      <c r="B11" s="307" t="s">
        <v>1139</v>
      </c>
      <c r="C11" s="308"/>
      <c r="D11" s="308"/>
      <c r="E11" s="308"/>
      <c r="F11" s="308"/>
      <c r="G11" s="308"/>
      <c r="H11" s="308"/>
      <c r="I11" s="308"/>
      <c r="J11" s="308"/>
      <c r="K11" s="308"/>
      <c r="L11" s="308"/>
      <c r="M11" s="308"/>
      <c r="N11" s="309"/>
    </row>
    <row r="12" spans="1:14" ht="21" customHeight="1">
      <c r="A12" s="493"/>
      <c r="B12" s="338"/>
      <c r="C12" s="334"/>
      <c r="D12" s="334"/>
      <c r="E12" s="334"/>
      <c r="F12" s="334"/>
      <c r="G12" s="334"/>
      <c r="H12" s="334"/>
      <c r="I12" s="334"/>
      <c r="J12" s="334"/>
      <c r="K12" s="334"/>
      <c r="L12" s="334"/>
      <c r="M12" s="334"/>
      <c r="N12" s="339"/>
    </row>
    <row r="15" spans="1:14" ht="21" customHeight="1">
      <c r="A15" s="310" t="s">
        <v>727</v>
      </c>
      <c r="B15" s="310" t="s">
        <v>728</v>
      </c>
      <c r="C15" s="310" t="s">
        <v>729</v>
      </c>
      <c r="D15" s="311" t="s">
        <v>730</v>
      </c>
      <c r="E15" s="312" t="s">
        <v>731</v>
      </c>
      <c r="F15" s="313" t="s">
        <v>732</v>
      </c>
      <c r="G15" s="313" t="s">
        <v>733</v>
      </c>
      <c r="H15" s="313" t="s">
        <v>734</v>
      </c>
      <c r="I15" s="314" t="s">
        <v>459</v>
      </c>
      <c r="J15" s="315" t="s">
        <v>16</v>
      </c>
      <c r="K15" s="315" t="s">
        <v>463</v>
      </c>
      <c r="L15" s="315" t="s">
        <v>460</v>
      </c>
      <c r="M15" s="315" t="s">
        <v>18</v>
      </c>
      <c r="N15" s="315" t="s">
        <v>735</v>
      </c>
    </row>
    <row r="16" spans="1:14" ht="21" customHeight="1">
      <c r="A16" s="488" t="s">
        <v>1065</v>
      </c>
      <c r="B16" s="343"/>
      <c r="C16" s="316" t="s">
        <v>736</v>
      </c>
      <c r="D16" s="317">
        <v>116</v>
      </c>
      <c r="E16" s="318"/>
      <c r="F16" s="318" t="s">
        <v>1067</v>
      </c>
      <c r="G16" s="318"/>
      <c r="H16" s="318" t="s">
        <v>1075</v>
      </c>
      <c r="I16" s="319" t="s">
        <v>737</v>
      </c>
      <c r="J16" s="320" t="s">
        <v>1140</v>
      </c>
      <c r="K16" s="321" t="s">
        <v>1141</v>
      </c>
      <c r="L16" s="320" t="s">
        <v>1142</v>
      </c>
      <c r="M16" s="321" t="s">
        <v>1143</v>
      </c>
      <c r="N16" s="320"/>
    </row>
    <row r="17" spans="1:14" ht="21" customHeight="1">
      <c r="A17" s="489"/>
      <c r="B17" s="292" t="s">
        <v>1074</v>
      </c>
      <c r="C17" s="318" t="s">
        <v>738</v>
      </c>
      <c r="D17" s="317">
        <v>121</v>
      </c>
      <c r="E17" s="317"/>
      <c r="F17" s="318"/>
      <c r="G17" s="318"/>
      <c r="H17" s="318"/>
      <c r="I17" s="322" t="s">
        <v>739</v>
      </c>
      <c r="J17" s="323" t="s">
        <v>815</v>
      </c>
      <c r="K17" s="323" t="s">
        <v>815</v>
      </c>
      <c r="L17" s="323" t="s">
        <v>815</v>
      </c>
      <c r="M17" s="323" t="s">
        <v>815</v>
      </c>
      <c r="N17" s="324"/>
    </row>
    <row r="18" spans="1:14" ht="21" customHeight="1">
      <c r="A18" s="489"/>
      <c r="B18" s="292" t="s">
        <v>747</v>
      </c>
      <c r="C18" s="318" t="s">
        <v>740</v>
      </c>
      <c r="D18" s="318">
        <v>141</v>
      </c>
      <c r="E18" s="318"/>
      <c r="F18" s="318"/>
      <c r="G18" s="318"/>
      <c r="H18" s="318"/>
      <c r="I18" s="322" t="s">
        <v>741</v>
      </c>
      <c r="J18" s="325" t="s">
        <v>1055</v>
      </c>
      <c r="K18" s="325" t="s">
        <v>1056</v>
      </c>
      <c r="L18" s="325" t="s">
        <v>1056</v>
      </c>
      <c r="M18" s="326" t="s">
        <v>1058</v>
      </c>
      <c r="N18" s="323"/>
    </row>
    <row r="19" spans="1:14" ht="21" customHeight="1">
      <c r="A19" s="490"/>
      <c r="B19" s="293"/>
      <c r="C19" s="327" t="s">
        <v>742</v>
      </c>
      <c r="D19" s="328">
        <f>SUM(D16:D18)</f>
        <v>378</v>
      </c>
      <c r="E19" s="329"/>
      <c r="F19" s="329"/>
      <c r="G19" s="329"/>
      <c r="H19" s="329"/>
      <c r="I19" s="322" t="s">
        <v>743</v>
      </c>
      <c r="J19" s="325" t="s">
        <v>1059</v>
      </c>
      <c r="K19" s="326" t="s">
        <v>1057</v>
      </c>
      <c r="L19" s="326" t="s">
        <v>1057</v>
      </c>
      <c r="M19" s="326" t="s">
        <v>1057</v>
      </c>
      <c r="N19" s="323"/>
    </row>
    <row r="20" spans="1:14" ht="21" customHeight="1">
      <c r="A20" s="323" t="s">
        <v>744</v>
      </c>
      <c r="B20" s="330"/>
      <c r="C20" s="331"/>
      <c r="D20" s="332"/>
      <c r="E20" s="332" t="s">
        <v>1069</v>
      </c>
      <c r="F20" s="332"/>
      <c r="G20" s="332" t="s">
        <v>1069</v>
      </c>
      <c r="H20" s="332"/>
      <c r="I20" s="322" t="s">
        <v>745</v>
      </c>
      <c r="J20" s="294" t="s">
        <v>749</v>
      </c>
      <c r="K20" s="294" t="s">
        <v>749</v>
      </c>
      <c r="L20" s="294" t="s">
        <v>749</v>
      </c>
      <c r="M20" s="294"/>
      <c r="N20" s="323"/>
    </row>
    <row r="21" spans="1:14" ht="21" customHeight="1">
      <c r="A21" s="491" t="s">
        <v>746</v>
      </c>
      <c r="B21" s="333" t="s">
        <v>1144</v>
      </c>
      <c r="C21" s="334"/>
      <c r="D21" s="334"/>
      <c r="E21" s="334"/>
      <c r="F21" s="334"/>
      <c r="G21" s="334"/>
      <c r="H21" s="334"/>
      <c r="I21" s="334"/>
      <c r="J21" s="335"/>
      <c r="K21" s="336"/>
      <c r="L21" s="336"/>
      <c r="M21" s="336"/>
      <c r="N21" s="309"/>
    </row>
    <row r="22" spans="1:14" ht="21" customHeight="1">
      <c r="A22" s="492"/>
      <c r="B22" s="307" t="s">
        <v>1145</v>
      </c>
      <c r="C22" s="334"/>
      <c r="D22" s="334"/>
      <c r="E22" s="334"/>
      <c r="F22" s="334"/>
      <c r="G22" s="334"/>
      <c r="H22" s="334"/>
      <c r="I22" s="334"/>
      <c r="J22" s="334"/>
      <c r="K22" s="334"/>
      <c r="L22" s="334"/>
      <c r="M22" s="334"/>
      <c r="N22" s="337"/>
    </row>
    <row r="23" spans="1:14" ht="21" customHeight="1">
      <c r="A23" s="492"/>
      <c r="B23" s="307" t="s">
        <v>1146</v>
      </c>
      <c r="C23" s="308"/>
      <c r="D23" s="308"/>
      <c r="E23" s="308"/>
      <c r="F23" s="308"/>
      <c r="G23" s="308"/>
      <c r="H23" s="308"/>
      <c r="I23" s="308"/>
      <c r="J23" s="308"/>
      <c r="K23" s="308"/>
      <c r="L23" s="308"/>
      <c r="M23" s="308"/>
      <c r="N23" s="309"/>
    </row>
    <row r="24" spans="1:14" ht="21" customHeight="1">
      <c r="A24" s="492"/>
      <c r="B24" s="307" t="s">
        <v>1147</v>
      </c>
      <c r="C24" s="308"/>
      <c r="D24" s="308"/>
      <c r="E24" s="308"/>
      <c r="F24" s="308"/>
      <c r="G24" s="308"/>
      <c r="H24" s="308"/>
      <c r="I24" s="308"/>
      <c r="J24" s="308"/>
      <c r="K24" s="308"/>
      <c r="L24" s="308"/>
      <c r="M24" s="308"/>
      <c r="N24" s="309"/>
    </row>
    <row r="25" spans="1:14" ht="21" customHeight="1">
      <c r="A25" s="493"/>
      <c r="B25" s="338" t="s">
        <v>1148</v>
      </c>
      <c r="C25" s="334"/>
      <c r="D25" s="334"/>
      <c r="E25" s="334"/>
      <c r="F25" s="334"/>
      <c r="G25" s="334"/>
      <c r="H25" s="334"/>
      <c r="I25" s="334"/>
      <c r="J25" s="334"/>
      <c r="K25" s="334"/>
      <c r="L25" s="334"/>
      <c r="M25" s="334"/>
      <c r="N25" s="339"/>
    </row>
    <row r="28" spans="1:14" ht="21" customHeight="1">
      <c r="A28" s="310" t="s">
        <v>727</v>
      </c>
      <c r="B28" s="310" t="s">
        <v>728</v>
      </c>
      <c r="C28" s="310" t="s">
        <v>729</v>
      </c>
      <c r="D28" s="311" t="s">
        <v>730</v>
      </c>
      <c r="E28" s="312" t="s">
        <v>731</v>
      </c>
      <c r="F28" s="313" t="s">
        <v>732</v>
      </c>
      <c r="G28" s="313" t="s">
        <v>733</v>
      </c>
      <c r="H28" s="313" t="s">
        <v>734</v>
      </c>
      <c r="I28" s="314" t="s">
        <v>459</v>
      </c>
      <c r="J28" s="315" t="s">
        <v>16</v>
      </c>
      <c r="K28" s="315" t="s">
        <v>463</v>
      </c>
      <c r="L28" s="315" t="s">
        <v>460</v>
      </c>
      <c r="M28" s="315" t="s">
        <v>18</v>
      </c>
      <c r="N28" s="315" t="s">
        <v>735</v>
      </c>
    </row>
    <row r="29" spans="1:14" ht="21" customHeight="1">
      <c r="A29" s="488" t="s">
        <v>1065</v>
      </c>
      <c r="B29" s="343"/>
      <c r="C29" s="316" t="s">
        <v>736</v>
      </c>
      <c r="D29" s="317">
        <v>199</v>
      </c>
      <c r="E29" s="318" t="s">
        <v>1077</v>
      </c>
      <c r="F29" s="318"/>
      <c r="G29" s="318"/>
      <c r="H29" s="318" t="s">
        <v>1075</v>
      </c>
      <c r="I29" s="319" t="s">
        <v>737</v>
      </c>
      <c r="J29" s="320" t="s">
        <v>1149</v>
      </c>
      <c r="K29" s="321" t="s">
        <v>1150</v>
      </c>
      <c r="L29" s="320" t="s">
        <v>1151</v>
      </c>
      <c r="M29" s="321"/>
      <c r="N29" s="320"/>
    </row>
    <row r="30" spans="1:14" ht="21" customHeight="1">
      <c r="A30" s="489"/>
      <c r="B30" s="292" t="s">
        <v>1076</v>
      </c>
      <c r="C30" s="318" t="s">
        <v>738</v>
      </c>
      <c r="D30" s="317">
        <v>172</v>
      </c>
      <c r="E30" s="317"/>
      <c r="F30" s="318"/>
      <c r="G30" s="318"/>
      <c r="H30" s="318"/>
      <c r="I30" s="322" t="s">
        <v>739</v>
      </c>
      <c r="J30" s="323" t="s">
        <v>815</v>
      </c>
      <c r="K30" s="323" t="s">
        <v>815</v>
      </c>
      <c r="L30" s="323" t="s">
        <v>815</v>
      </c>
      <c r="M30" s="323" t="s">
        <v>815</v>
      </c>
      <c r="N30" s="324"/>
    </row>
    <row r="31" spans="1:14" ht="21" customHeight="1">
      <c r="A31" s="489"/>
      <c r="B31" s="292" t="s">
        <v>747</v>
      </c>
      <c r="C31" s="318" t="s">
        <v>740</v>
      </c>
      <c r="D31" s="318">
        <v>142</v>
      </c>
      <c r="E31" s="318"/>
      <c r="F31" s="318"/>
      <c r="G31" s="318"/>
      <c r="H31" s="318"/>
      <c r="I31" s="322" t="s">
        <v>741</v>
      </c>
      <c r="J31" s="325" t="s">
        <v>1055</v>
      </c>
      <c r="K31" s="325" t="s">
        <v>1056</v>
      </c>
      <c r="L31" s="325" t="s">
        <v>1056</v>
      </c>
      <c r="M31" s="326" t="s">
        <v>1058</v>
      </c>
      <c r="N31" s="323"/>
    </row>
    <row r="32" spans="1:14" ht="21" customHeight="1">
      <c r="A32" s="490"/>
      <c r="B32" s="293"/>
      <c r="C32" s="327" t="s">
        <v>742</v>
      </c>
      <c r="D32" s="328">
        <f>SUM(D29:D31)</f>
        <v>513</v>
      </c>
      <c r="E32" s="329"/>
      <c r="F32" s="329"/>
      <c r="G32" s="329"/>
      <c r="H32" s="329"/>
      <c r="I32" s="322" t="s">
        <v>743</v>
      </c>
      <c r="J32" s="325" t="s">
        <v>1059</v>
      </c>
      <c r="K32" s="326" t="s">
        <v>1057</v>
      </c>
      <c r="L32" s="326" t="s">
        <v>1057</v>
      </c>
      <c r="M32" s="326" t="s">
        <v>1057</v>
      </c>
      <c r="N32" s="323"/>
    </row>
    <row r="33" spans="1:14" ht="21" customHeight="1">
      <c r="A33" s="323" t="s">
        <v>744</v>
      </c>
      <c r="B33" s="330"/>
      <c r="C33" s="331"/>
      <c r="D33" s="332"/>
      <c r="E33" s="332"/>
      <c r="F33" s="332" t="s">
        <v>1069</v>
      </c>
      <c r="G33" s="332" t="s">
        <v>1069</v>
      </c>
      <c r="H33" s="332"/>
      <c r="I33" s="322" t="s">
        <v>745</v>
      </c>
      <c r="J33" s="294" t="s">
        <v>749</v>
      </c>
      <c r="K33" s="294" t="s">
        <v>749</v>
      </c>
      <c r="L33" s="294" t="s">
        <v>749</v>
      </c>
      <c r="M33" s="294"/>
      <c r="N33" s="323"/>
    </row>
    <row r="34" spans="1:14" ht="21" customHeight="1">
      <c r="A34" s="491" t="s">
        <v>746</v>
      </c>
      <c r="B34" s="333" t="s">
        <v>1152</v>
      </c>
      <c r="C34" s="334"/>
      <c r="D34" s="334"/>
      <c r="E34" s="334"/>
      <c r="F34" s="334"/>
      <c r="G34" s="334"/>
      <c r="H34" s="334"/>
      <c r="I34" s="334"/>
      <c r="J34" s="335"/>
      <c r="K34" s="336"/>
      <c r="L34" s="336"/>
      <c r="M34" s="336"/>
      <c r="N34" s="309"/>
    </row>
    <row r="35" spans="1:14" ht="21" customHeight="1">
      <c r="A35" s="492"/>
      <c r="B35" s="307" t="s">
        <v>1153</v>
      </c>
      <c r="C35" s="334"/>
      <c r="D35" s="334"/>
      <c r="E35" s="334"/>
      <c r="F35" s="334"/>
      <c r="G35" s="334"/>
      <c r="H35" s="334"/>
      <c r="I35" s="334"/>
      <c r="J35" s="334"/>
      <c r="K35" s="334"/>
      <c r="L35" s="334"/>
      <c r="M35" s="334"/>
      <c r="N35" s="337"/>
    </row>
    <row r="36" spans="1:14" ht="21" customHeight="1">
      <c r="A36" s="492"/>
      <c r="B36" s="307"/>
      <c r="C36" s="308"/>
      <c r="D36" s="308"/>
      <c r="E36" s="308"/>
      <c r="F36" s="308"/>
      <c r="G36" s="308"/>
      <c r="H36" s="308"/>
      <c r="I36" s="308"/>
      <c r="J36" s="308"/>
      <c r="K36" s="308"/>
      <c r="L36" s="308"/>
      <c r="M36" s="308"/>
      <c r="N36" s="309"/>
    </row>
    <row r="37" spans="1:14" ht="21" customHeight="1">
      <c r="A37" s="492"/>
      <c r="B37" s="307"/>
      <c r="C37" s="308"/>
      <c r="D37" s="308"/>
      <c r="E37" s="308"/>
      <c r="F37" s="308"/>
      <c r="G37" s="308"/>
      <c r="H37" s="308"/>
      <c r="I37" s="308"/>
      <c r="J37" s="308"/>
      <c r="K37" s="308"/>
      <c r="L37" s="308"/>
      <c r="M37" s="308"/>
      <c r="N37" s="309"/>
    </row>
    <row r="38" spans="1:14" ht="21" customHeight="1">
      <c r="A38" s="493"/>
      <c r="B38" s="338"/>
      <c r="C38" s="334"/>
      <c r="D38" s="334"/>
      <c r="E38" s="334"/>
      <c r="F38" s="334"/>
      <c r="G38" s="334"/>
      <c r="H38" s="334"/>
      <c r="I38" s="334"/>
      <c r="J38" s="334"/>
      <c r="K38" s="334"/>
      <c r="L38" s="334"/>
      <c r="M38" s="334"/>
      <c r="N38" s="339"/>
    </row>
    <row r="41" spans="1:14" ht="21" customHeight="1">
      <c r="A41" s="310" t="s">
        <v>727</v>
      </c>
      <c r="B41" s="310" t="s">
        <v>728</v>
      </c>
      <c r="C41" s="310" t="s">
        <v>729</v>
      </c>
      <c r="D41" s="311" t="s">
        <v>730</v>
      </c>
      <c r="E41" s="312" t="s">
        <v>731</v>
      </c>
      <c r="F41" s="313" t="s">
        <v>732</v>
      </c>
      <c r="G41" s="313" t="s">
        <v>733</v>
      </c>
      <c r="H41" s="313" t="s">
        <v>734</v>
      </c>
      <c r="I41" s="314" t="s">
        <v>459</v>
      </c>
      <c r="J41" s="315" t="s">
        <v>16</v>
      </c>
      <c r="K41" s="315" t="s">
        <v>463</v>
      </c>
      <c r="L41" s="315" t="s">
        <v>460</v>
      </c>
      <c r="M41" s="315" t="s">
        <v>18</v>
      </c>
      <c r="N41" s="315" t="s">
        <v>735</v>
      </c>
    </row>
    <row r="42" spans="1:14" ht="21" customHeight="1">
      <c r="A42" s="488" t="s">
        <v>1065</v>
      </c>
      <c r="B42" s="343"/>
      <c r="C42" s="316" t="s">
        <v>736</v>
      </c>
      <c r="D42" s="317">
        <v>282</v>
      </c>
      <c r="E42" s="318" t="s">
        <v>1079</v>
      </c>
      <c r="F42" s="318" t="s">
        <v>1080</v>
      </c>
      <c r="G42" s="318"/>
      <c r="H42" s="318" t="s">
        <v>1079</v>
      </c>
      <c r="I42" s="319" t="s">
        <v>737</v>
      </c>
      <c r="J42" s="320" t="s">
        <v>1154</v>
      </c>
      <c r="K42" s="321" t="s">
        <v>1155</v>
      </c>
      <c r="L42" s="320" t="s">
        <v>1156</v>
      </c>
      <c r="M42" s="321" t="s">
        <v>1157</v>
      </c>
      <c r="N42" s="320"/>
    </row>
    <row r="43" spans="1:14" ht="21" customHeight="1">
      <c r="A43" s="489"/>
      <c r="B43" s="292" t="s">
        <v>1078</v>
      </c>
      <c r="C43" s="318" t="s">
        <v>738</v>
      </c>
      <c r="D43" s="317">
        <v>272</v>
      </c>
      <c r="E43" s="317"/>
      <c r="F43" s="318"/>
      <c r="G43" s="318"/>
      <c r="H43" s="318"/>
      <c r="I43" s="322" t="s">
        <v>739</v>
      </c>
      <c r="J43" s="323" t="s">
        <v>815</v>
      </c>
      <c r="K43" s="323" t="s">
        <v>815</v>
      </c>
      <c r="L43" s="323" t="s">
        <v>815</v>
      </c>
      <c r="M43" s="323" t="s">
        <v>815</v>
      </c>
      <c r="N43" s="324"/>
    </row>
    <row r="44" spans="1:14" ht="21" customHeight="1">
      <c r="A44" s="489"/>
      <c r="B44" s="292" t="s">
        <v>747</v>
      </c>
      <c r="C44" s="318" t="s">
        <v>740</v>
      </c>
      <c r="D44" s="318">
        <v>276</v>
      </c>
      <c r="E44" s="318"/>
      <c r="F44" s="318"/>
      <c r="G44" s="318"/>
      <c r="H44" s="318"/>
      <c r="I44" s="322" t="s">
        <v>741</v>
      </c>
      <c r="J44" s="325" t="s">
        <v>1055</v>
      </c>
      <c r="K44" s="325" t="s">
        <v>1056</v>
      </c>
      <c r="L44" s="325" t="s">
        <v>1056</v>
      </c>
      <c r="M44" s="326" t="s">
        <v>1058</v>
      </c>
      <c r="N44" s="323"/>
    </row>
    <row r="45" spans="1:14" ht="21" customHeight="1">
      <c r="A45" s="490"/>
      <c r="B45" s="293"/>
      <c r="C45" s="327" t="s">
        <v>742</v>
      </c>
      <c r="D45" s="328">
        <f>SUM(D42:D44)</f>
        <v>830</v>
      </c>
      <c r="E45" s="329"/>
      <c r="F45" s="329"/>
      <c r="G45" s="329"/>
      <c r="H45" s="329"/>
      <c r="I45" s="322" t="s">
        <v>743</v>
      </c>
      <c r="J45" s="325" t="s">
        <v>1059</v>
      </c>
      <c r="K45" s="326" t="s">
        <v>1057</v>
      </c>
      <c r="L45" s="326" t="s">
        <v>1057</v>
      </c>
      <c r="M45" s="326" t="s">
        <v>1057</v>
      </c>
      <c r="N45" s="323"/>
    </row>
    <row r="46" spans="1:14" ht="21" customHeight="1">
      <c r="A46" s="323" t="s">
        <v>744</v>
      </c>
      <c r="B46" s="330"/>
      <c r="C46" s="331"/>
      <c r="D46" s="332"/>
      <c r="E46" s="332"/>
      <c r="F46" s="332"/>
      <c r="G46" s="332" t="s">
        <v>1069</v>
      </c>
      <c r="H46" s="332"/>
      <c r="I46" s="322" t="s">
        <v>745</v>
      </c>
      <c r="J46" s="294" t="s">
        <v>749</v>
      </c>
      <c r="K46" s="294" t="s">
        <v>749</v>
      </c>
      <c r="L46" s="294" t="s">
        <v>749</v>
      </c>
      <c r="M46" s="294"/>
      <c r="N46" s="323"/>
    </row>
    <row r="47" spans="1:14" ht="21" customHeight="1">
      <c r="A47" s="491" t="s">
        <v>746</v>
      </c>
      <c r="B47" s="333" t="s">
        <v>1158</v>
      </c>
      <c r="C47" s="334"/>
      <c r="D47" s="334"/>
      <c r="E47" s="334"/>
      <c r="F47" s="334"/>
      <c r="G47" s="334"/>
      <c r="H47" s="334"/>
      <c r="I47" s="334"/>
      <c r="J47" s="335"/>
      <c r="K47" s="336"/>
      <c r="L47" s="336"/>
      <c r="M47" s="336"/>
      <c r="N47" s="309"/>
    </row>
    <row r="48" spans="1:14" ht="21" customHeight="1">
      <c r="A48" s="492"/>
      <c r="B48" s="307" t="s">
        <v>1499</v>
      </c>
      <c r="C48" s="334"/>
      <c r="D48" s="334"/>
      <c r="E48" s="334"/>
      <c r="F48" s="334"/>
      <c r="G48" s="334"/>
      <c r="H48" s="334"/>
      <c r="I48" s="334"/>
      <c r="J48" s="334"/>
      <c r="K48" s="334"/>
      <c r="L48" s="334"/>
      <c r="M48" s="334"/>
      <c r="N48" s="337"/>
    </row>
    <row r="49" spans="1:14" ht="21" customHeight="1">
      <c r="A49" s="492"/>
      <c r="B49" s="307"/>
      <c r="C49" s="308"/>
      <c r="D49" s="308"/>
      <c r="E49" s="308"/>
      <c r="F49" s="308"/>
      <c r="G49" s="308"/>
      <c r="H49" s="308"/>
      <c r="I49" s="308"/>
      <c r="J49" s="308"/>
      <c r="K49" s="308"/>
      <c r="L49" s="308"/>
      <c r="M49" s="308"/>
      <c r="N49" s="309"/>
    </row>
    <row r="50" spans="1:14" ht="21" customHeight="1">
      <c r="A50" s="492"/>
      <c r="B50" s="307"/>
      <c r="C50" s="308"/>
      <c r="D50" s="308"/>
      <c r="E50" s="308"/>
      <c r="F50" s="308"/>
      <c r="G50" s="308"/>
      <c r="H50" s="308"/>
      <c r="I50" s="308"/>
      <c r="J50" s="308"/>
      <c r="K50" s="308"/>
      <c r="L50" s="308"/>
      <c r="M50" s="308"/>
      <c r="N50" s="309"/>
    </row>
    <row r="51" spans="1:14" ht="21" customHeight="1">
      <c r="A51" s="493"/>
      <c r="B51" s="338"/>
      <c r="C51" s="334"/>
      <c r="D51" s="334"/>
      <c r="E51" s="334"/>
      <c r="F51" s="334"/>
      <c r="G51" s="334"/>
      <c r="H51" s="334"/>
      <c r="I51" s="334"/>
      <c r="J51" s="334"/>
      <c r="K51" s="334"/>
      <c r="L51" s="334"/>
      <c r="M51" s="334"/>
      <c r="N51" s="339"/>
    </row>
    <row r="54" spans="1:14" ht="21" customHeight="1">
      <c r="A54" s="310" t="s">
        <v>727</v>
      </c>
      <c r="B54" s="310" t="s">
        <v>728</v>
      </c>
      <c r="C54" s="310" t="s">
        <v>729</v>
      </c>
      <c r="D54" s="311" t="s">
        <v>730</v>
      </c>
      <c r="E54" s="312" t="s">
        <v>731</v>
      </c>
      <c r="F54" s="313" t="s">
        <v>732</v>
      </c>
      <c r="G54" s="313" t="s">
        <v>733</v>
      </c>
      <c r="H54" s="313" t="s">
        <v>734</v>
      </c>
      <c r="I54" s="314" t="s">
        <v>459</v>
      </c>
      <c r="J54" s="315" t="s">
        <v>16</v>
      </c>
      <c r="K54" s="315" t="s">
        <v>463</v>
      </c>
      <c r="L54" s="315" t="s">
        <v>460</v>
      </c>
      <c r="M54" s="315" t="s">
        <v>18</v>
      </c>
      <c r="N54" s="315" t="s">
        <v>735</v>
      </c>
    </row>
    <row r="55" spans="1:14" ht="21" customHeight="1">
      <c r="A55" s="488" t="s">
        <v>1065</v>
      </c>
      <c r="B55" s="343"/>
      <c r="C55" s="316" t="s">
        <v>736</v>
      </c>
      <c r="D55" s="317"/>
      <c r="E55" s="318"/>
      <c r="F55" s="318"/>
      <c r="G55" s="318"/>
      <c r="H55" s="318"/>
      <c r="I55" s="319" t="s">
        <v>737</v>
      </c>
      <c r="J55" s="320" t="s">
        <v>1159</v>
      </c>
      <c r="K55" s="321"/>
      <c r="L55" s="320"/>
      <c r="M55" s="321"/>
      <c r="N55" s="320"/>
    </row>
    <row r="56" spans="1:14" ht="21" customHeight="1">
      <c r="A56" s="489"/>
      <c r="B56" s="292" t="s">
        <v>1081</v>
      </c>
      <c r="C56" s="318" t="s">
        <v>738</v>
      </c>
      <c r="D56" s="317"/>
      <c r="E56" s="317"/>
      <c r="F56" s="318"/>
      <c r="G56" s="318"/>
      <c r="H56" s="318"/>
      <c r="I56" s="322" t="s">
        <v>739</v>
      </c>
      <c r="J56" s="323" t="s">
        <v>815</v>
      </c>
      <c r="K56" s="323" t="s">
        <v>815</v>
      </c>
      <c r="L56" s="323" t="s">
        <v>815</v>
      </c>
      <c r="M56" s="323" t="s">
        <v>815</v>
      </c>
      <c r="N56" s="324"/>
    </row>
    <row r="57" spans="1:14" ht="21" customHeight="1">
      <c r="A57" s="489"/>
      <c r="B57" s="292" t="s">
        <v>747</v>
      </c>
      <c r="C57" s="318" t="s">
        <v>740</v>
      </c>
      <c r="D57" s="318"/>
      <c r="E57" s="318"/>
      <c r="F57" s="318"/>
      <c r="G57" s="318"/>
      <c r="H57" s="318"/>
      <c r="I57" s="322" t="s">
        <v>741</v>
      </c>
      <c r="J57" s="325" t="s">
        <v>1055</v>
      </c>
      <c r="K57" s="325" t="s">
        <v>1056</v>
      </c>
      <c r="L57" s="325" t="s">
        <v>1056</v>
      </c>
      <c r="M57" s="326" t="s">
        <v>1058</v>
      </c>
      <c r="N57" s="323"/>
    </row>
    <row r="58" spans="1:14" ht="21" customHeight="1">
      <c r="A58" s="490"/>
      <c r="B58" s="293"/>
      <c r="C58" s="327" t="s">
        <v>742</v>
      </c>
      <c r="D58" s="328">
        <f>SUM(D55:D57)</f>
        <v>0</v>
      </c>
      <c r="E58" s="329"/>
      <c r="F58" s="329"/>
      <c r="G58" s="329"/>
      <c r="H58" s="329"/>
      <c r="I58" s="322" t="s">
        <v>743</v>
      </c>
      <c r="J58" s="325" t="s">
        <v>1059</v>
      </c>
      <c r="K58" s="326" t="s">
        <v>1057</v>
      </c>
      <c r="L58" s="326" t="s">
        <v>1057</v>
      </c>
      <c r="M58" s="326" t="s">
        <v>1057</v>
      </c>
      <c r="N58" s="323"/>
    </row>
    <row r="59" spans="1:14" ht="21" customHeight="1">
      <c r="A59" s="323" t="s">
        <v>744</v>
      </c>
      <c r="B59" s="330"/>
      <c r="C59" s="331"/>
      <c r="D59" s="332"/>
      <c r="E59" s="332"/>
      <c r="F59" s="332"/>
      <c r="G59" s="332"/>
      <c r="H59" s="332"/>
      <c r="I59" s="322" t="s">
        <v>745</v>
      </c>
      <c r="J59" s="294" t="s">
        <v>749</v>
      </c>
      <c r="K59" s="294" t="s">
        <v>749</v>
      </c>
      <c r="L59" s="294" t="s">
        <v>749</v>
      </c>
      <c r="M59" s="294"/>
      <c r="N59" s="323"/>
    </row>
    <row r="60" spans="1:14" ht="21" customHeight="1">
      <c r="A60" s="491" t="s">
        <v>746</v>
      </c>
      <c r="B60" s="333" t="s">
        <v>1160</v>
      </c>
      <c r="C60" s="334"/>
      <c r="D60" s="334"/>
      <c r="E60" s="334"/>
      <c r="F60" s="334"/>
      <c r="G60" s="334"/>
      <c r="H60" s="334"/>
      <c r="I60" s="334"/>
      <c r="J60" s="335"/>
      <c r="K60" s="336"/>
      <c r="L60" s="336"/>
      <c r="M60" s="336"/>
      <c r="N60" s="309"/>
    </row>
    <row r="61" spans="1:14" ht="21" customHeight="1">
      <c r="A61" s="492"/>
      <c r="B61" s="307" t="s">
        <v>1161</v>
      </c>
      <c r="C61" s="334"/>
      <c r="D61" s="334"/>
      <c r="E61" s="334"/>
      <c r="F61" s="334"/>
      <c r="G61" s="334"/>
      <c r="H61" s="334"/>
      <c r="I61" s="334"/>
      <c r="J61" s="334"/>
      <c r="K61" s="334"/>
      <c r="L61" s="334"/>
      <c r="M61" s="334"/>
      <c r="N61" s="337"/>
    </row>
    <row r="62" spans="1:14" ht="21" customHeight="1">
      <c r="A62" s="492"/>
      <c r="B62" s="307"/>
      <c r="C62" s="308"/>
      <c r="D62" s="308"/>
      <c r="E62" s="308"/>
      <c r="F62" s="308"/>
      <c r="G62" s="308"/>
      <c r="H62" s="308"/>
      <c r="I62" s="308"/>
      <c r="J62" s="308"/>
      <c r="K62" s="308"/>
      <c r="L62" s="308"/>
      <c r="M62" s="308"/>
      <c r="N62" s="309"/>
    </row>
    <row r="63" spans="1:14" ht="21" customHeight="1">
      <c r="A63" s="492"/>
      <c r="B63" s="307"/>
      <c r="C63" s="308"/>
      <c r="D63" s="308"/>
      <c r="E63" s="308"/>
      <c r="F63" s="308"/>
      <c r="G63" s="308"/>
      <c r="H63" s="308"/>
      <c r="I63" s="308"/>
      <c r="J63" s="308"/>
      <c r="K63" s="308"/>
      <c r="L63" s="308"/>
      <c r="M63" s="308"/>
      <c r="N63" s="309"/>
    </row>
    <row r="64" spans="1:14" ht="21" customHeight="1">
      <c r="A64" s="493"/>
      <c r="B64" s="338"/>
      <c r="C64" s="334"/>
      <c r="D64" s="334"/>
      <c r="E64" s="334"/>
      <c r="F64" s="334"/>
      <c r="G64" s="334"/>
      <c r="H64" s="334"/>
      <c r="I64" s="334"/>
      <c r="J64" s="334"/>
      <c r="K64" s="334"/>
      <c r="L64" s="334"/>
      <c r="M64" s="334"/>
      <c r="N64" s="339"/>
    </row>
    <row r="67" spans="1:14" ht="21" customHeight="1">
      <c r="A67" s="310" t="s">
        <v>727</v>
      </c>
      <c r="B67" s="310" t="s">
        <v>728</v>
      </c>
      <c r="C67" s="310" t="s">
        <v>729</v>
      </c>
      <c r="D67" s="311" t="s">
        <v>730</v>
      </c>
      <c r="E67" s="312" t="s">
        <v>731</v>
      </c>
      <c r="F67" s="313" t="s">
        <v>732</v>
      </c>
      <c r="G67" s="313" t="s">
        <v>733</v>
      </c>
      <c r="H67" s="313" t="s">
        <v>734</v>
      </c>
      <c r="I67" s="314" t="s">
        <v>459</v>
      </c>
      <c r="J67" s="315" t="s">
        <v>16</v>
      </c>
      <c r="K67" s="315" t="s">
        <v>463</v>
      </c>
      <c r="L67" s="315" t="s">
        <v>460</v>
      </c>
      <c r="M67" s="315" t="s">
        <v>18</v>
      </c>
      <c r="N67" s="315" t="s">
        <v>735</v>
      </c>
    </row>
    <row r="68" spans="1:14" ht="21" customHeight="1">
      <c r="A68" s="488" t="s">
        <v>1065</v>
      </c>
      <c r="B68" s="343"/>
      <c r="C68" s="316" t="s">
        <v>736</v>
      </c>
      <c r="D68" s="317">
        <v>126</v>
      </c>
      <c r="E68" s="318"/>
      <c r="F68" s="318"/>
      <c r="G68" s="318" t="s">
        <v>1083</v>
      </c>
      <c r="H68" s="318" t="s">
        <v>1084</v>
      </c>
      <c r="I68" s="319" t="s">
        <v>737</v>
      </c>
      <c r="J68" s="320" t="s">
        <v>1162</v>
      </c>
      <c r="K68" s="321" t="s">
        <v>1163</v>
      </c>
      <c r="L68" s="320" t="s">
        <v>1164</v>
      </c>
      <c r="M68" s="321" t="s">
        <v>1165</v>
      </c>
      <c r="N68" s="320"/>
    </row>
    <row r="69" spans="1:14" ht="21" customHeight="1">
      <c r="A69" s="489"/>
      <c r="B69" s="292" t="s">
        <v>1082</v>
      </c>
      <c r="C69" s="318" t="s">
        <v>738</v>
      </c>
      <c r="D69" s="317">
        <v>118</v>
      </c>
      <c r="E69" s="317"/>
      <c r="F69" s="318" t="s">
        <v>1067</v>
      </c>
      <c r="G69" s="318"/>
      <c r="H69" s="318"/>
      <c r="I69" s="322" t="s">
        <v>739</v>
      </c>
      <c r="J69" s="323" t="s">
        <v>815</v>
      </c>
      <c r="K69" s="323" t="s">
        <v>815</v>
      </c>
      <c r="L69" s="323" t="s">
        <v>815</v>
      </c>
      <c r="M69" s="323" t="s">
        <v>815</v>
      </c>
      <c r="N69" s="324"/>
    </row>
    <row r="70" spans="1:14" ht="21" customHeight="1">
      <c r="A70" s="489"/>
      <c r="B70" s="292" t="s">
        <v>747</v>
      </c>
      <c r="C70" s="318" t="s">
        <v>740</v>
      </c>
      <c r="D70" s="318">
        <v>142</v>
      </c>
      <c r="E70" s="318"/>
      <c r="F70" s="318"/>
      <c r="G70" s="318"/>
      <c r="H70" s="318"/>
      <c r="I70" s="322" t="s">
        <v>741</v>
      </c>
      <c r="J70" s="325" t="s">
        <v>1055</v>
      </c>
      <c r="K70" s="325" t="s">
        <v>1056</v>
      </c>
      <c r="L70" s="325" t="s">
        <v>1056</v>
      </c>
      <c r="M70" s="326" t="s">
        <v>1058</v>
      </c>
      <c r="N70" s="323"/>
    </row>
    <row r="71" spans="1:14" ht="21" customHeight="1">
      <c r="A71" s="490"/>
      <c r="B71" s="293"/>
      <c r="C71" s="327" t="s">
        <v>742</v>
      </c>
      <c r="D71" s="328">
        <f>SUM(D68:D70)</f>
        <v>386</v>
      </c>
      <c r="E71" s="329"/>
      <c r="F71" s="329"/>
      <c r="G71" s="329"/>
      <c r="H71" s="329"/>
      <c r="I71" s="322" t="s">
        <v>743</v>
      </c>
      <c r="J71" s="325" t="s">
        <v>1059</v>
      </c>
      <c r="K71" s="326" t="s">
        <v>1057</v>
      </c>
      <c r="L71" s="326" t="s">
        <v>1057</v>
      </c>
      <c r="M71" s="326" t="s">
        <v>1057</v>
      </c>
      <c r="N71" s="323"/>
    </row>
    <row r="72" spans="1:14" ht="21" customHeight="1">
      <c r="A72" s="323" t="s">
        <v>744</v>
      </c>
      <c r="B72" s="330"/>
      <c r="C72" s="331"/>
      <c r="D72" s="332"/>
      <c r="E72" s="332" t="s">
        <v>1069</v>
      </c>
      <c r="F72" s="332"/>
      <c r="G72" s="332"/>
      <c r="H72" s="332"/>
      <c r="I72" s="322" t="s">
        <v>745</v>
      </c>
      <c r="J72" s="294" t="s">
        <v>749</v>
      </c>
      <c r="K72" s="294" t="s">
        <v>749</v>
      </c>
      <c r="L72" s="294" t="s">
        <v>749</v>
      </c>
      <c r="M72" s="294"/>
      <c r="N72" s="323"/>
    </row>
    <row r="73" spans="1:14" ht="21" customHeight="1">
      <c r="A73" s="491" t="s">
        <v>746</v>
      </c>
      <c r="B73" s="333" t="s">
        <v>1166</v>
      </c>
      <c r="C73" s="334"/>
      <c r="D73" s="334"/>
      <c r="E73" s="334"/>
      <c r="F73" s="334"/>
      <c r="G73" s="334"/>
      <c r="H73" s="334"/>
      <c r="I73" s="334"/>
      <c r="J73" s="335"/>
      <c r="K73" s="336"/>
      <c r="L73" s="336"/>
      <c r="M73" s="336"/>
      <c r="N73" s="309"/>
    </row>
    <row r="74" spans="1:14" ht="21" customHeight="1">
      <c r="A74" s="492"/>
      <c r="B74" s="307" t="s">
        <v>1167</v>
      </c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7"/>
    </row>
    <row r="75" spans="1:14" ht="21" customHeight="1">
      <c r="A75" s="492"/>
      <c r="B75" s="307" t="s">
        <v>1168</v>
      </c>
      <c r="C75" s="308"/>
      <c r="D75" s="308"/>
      <c r="E75" s="308"/>
      <c r="F75" s="308"/>
      <c r="G75" s="308"/>
      <c r="H75" s="308"/>
      <c r="I75" s="308"/>
      <c r="J75" s="308"/>
      <c r="K75" s="308"/>
      <c r="L75" s="308"/>
      <c r="M75" s="308"/>
      <c r="N75" s="309"/>
    </row>
    <row r="76" spans="1:14" ht="21" customHeight="1">
      <c r="A76" s="492"/>
      <c r="B76" s="307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9"/>
    </row>
    <row r="77" spans="1:14" ht="21" customHeight="1">
      <c r="A77" s="493"/>
      <c r="B77" s="338"/>
      <c r="C77" s="334"/>
      <c r="D77" s="334"/>
      <c r="E77" s="334"/>
      <c r="F77" s="334"/>
      <c r="G77" s="334"/>
      <c r="H77" s="334"/>
      <c r="I77" s="334"/>
      <c r="J77" s="334"/>
      <c r="K77" s="334"/>
      <c r="L77" s="334"/>
      <c r="M77" s="334"/>
      <c r="N77" s="339"/>
    </row>
    <row r="80" spans="1:14" ht="21" customHeight="1">
      <c r="A80" s="310" t="s">
        <v>727</v>
      </c>
      <c r="B80" s="310" t="s">
        <v>728</v>
      </c>
      <c r="C80" s="310" t="s">
        <v>729</v>
      </c>
      <c r="D80" s="311" t="s">
        <v>730</v>
      </c>
      <c r="E80" s="312" t="s">
        <v>731</v>
      </c>
      <c r="F80" s="313" t="s">
        <v>732</v>
      </c>
      <c r="G80" s="313" t="s">
        <v>733</v>
      </c>
      <c r="H80" s="313" t="s">
        <v>734</v>
      </c>
      <c r="I80" s="314" t="s">
        <v>459</v>
      </c>
      <c r="J80" s="315" t="s">
        <v>16</v>
      </c>
      <c r="K80" s="315" t="s">
        <v>463</v>
      </c>
      <c r="L80" s="315" t="s">
        <v>460</v>
      </c>
      <c r="M80" s="315" t="s">
        <v>18</v>
      </c>
      <c r="N80" s="315" t="s">
        <v>735</v>
      </c>
    </row>
    <row r="81" spans="1:14" ht="21" customHeight="1">
      <c r="A81" s="488" t="s">
        <v>1065</v>
      </c>
      <c r="B81" s="343"/>
      <c r="C81" s="316" t="s">
        <v>736</v>
      </c>
      <c r="D81" s="317">
        <v>127</v>
      </c>
      <c r="E81" s="318" t="s">
        <v>1077</v>
      </c>
      <c r="F81" s="318" t="s">
        <v>1084</v>
      </c>
      <c r="G81" s="318"/>
      <c r="H81" s="318" t="s">
        <v>1086</v>
      </c>
      <c r="I81" s="319" t="s">
        <v>737</v>
      </c>
      <c r="J81" s="320" t="s">
        <v>1169</v>
      </c>
      <c r="K81" s="321" t="s">
        <v>1170</v>
      </c>
      <c r="L81" s="320" t="s">
        <v>1171</v>
      </c>
      <c r="M81" s="321" t="s">
        <v>1172</v>
      </c>
      <c r="N81" s="320"/>
    </row>
    <row r="82" spans="1:14" ht="21" customHeight="1">
      <c r="A82" s="489"/>
      <c r="B82" s="292" t="s">
        <v>1085</v>
      </c>
      <c r="C82" s="318" t="s">
        <v>738</v>
      </c>
      <c r="D82" s="317">
        <v>137</v>
      </c>
      <c r="E82" s="317"/>
      <c r="F82" s="318"/>
      <c r="G82" s="318"/>
      <c r="H82" s="318"/>
      <c r="I82" s="322" t="s">
        <v>739</v>
      </c>
      <c r="J82" s="323" t="s">
        <v>815</v>
      </c>
      <c r="K82" s="323" t="s">
        <v>815</v>
      </c>
      <c r="L82" s="323" t="s">
        <v>815</v>
      </c>
      <c r="M82" s="323" t="s">
        <v>815</v>
      </c>
      <c r="N82" s="324"/>
    </row>
    <row r="83" spans="1:14" ht="21" customHeight="1">
      <c r="A83" s="489"/>
      <c r="B83" s="292" t="s">
        <v>747</v>
      </c>
      <c r="C83" s="318" t="s">
        <v>740</v>
      </c>
      <c r="D83" s="318">
        <v>151</v>
      </c>
      <c r="E83" s="318"/>
      <c r="F83" s="318"/>
      <c r="G83" s="318"/>
      <c r="H83" s="318"/>
      <c r="I83" s="322" t="s">
        <v>741</v>
      </c>
      <c r="J83" s="325" t="s">
        <v>1055</v>
      </c>
      <c r="K83" s="325" t="s">
        <v>1056</v>
      </c>
      <c r="L83" s="325" t="s">
        <v>1056</v>
      </c>
      <c r="M83" s="326" t="s">
        <v>1058</v>
      </c>
      <c r="N83" s="323"/>
    </row>
    <row r="84" spans="1:14" ht="21" customHeight="1">
      <c r="A84" s="490"/>
      <c r="B84" s="293"/>
      <c r="C84" s="327" t="s">
        <v>742</v>
      </c>
      <c r="D84" s="328">
        <f>SUM(D81:D83)</f>
        <v>415</v>
      </c>
      <c r="E84" s="329"/>
      <c r="F84" s="329"/>
      <c r="G84" s="329"/>
      <c r="H84" s="329"/>
      <c r="I84" s="322" t="s">
        <v>743</v>
      </c>
      <c r="J84" s="325" t="s">
        <v>1059</v>
      </c>
      <c r="K84" s="326" t="s">
        <v>1057</v>
      </c>
      <c r="L84" s="326" t="s">
        <v>1057</v>
      </c>
      <c r="M84" s="326" t="s">
        <v>1057</v>
      </c>
      <c r="N84" s="323"/>
    </row>
    <row r="85" spans="1:14" ht="21" customHeight="1">
      <c r="A85" s="323" t="s">
        <v>744</v>
      </c>
      <c r="B85" s="330"/>
      <c r="C85" s="331"/>
      <c r="D85" s="332"/>
      <c r="E85" s="332"/>
      <c r="F85" s="332"/>
      <c r="G85" s="332" t="s">
        <v>1069</v>
      </c>
      <c r="H85" s="332"/>
      <c r="I85" s="322" t="s">
        <v>745</v>
      </c>
      <c r="J85" s="294" t="s">
        <v>749</v>
      </c>
      <c r="K85" s="294" t="s">
        <v>749</v>
      </c>
      <c r="L85" s="294" t="s">
        <v>749</v>
      </c>
      <c r="M85" s="294"/>
      <c r="N85" s="323"/>
    </row>
    <row r="86" spans="1:14" ht="21" customHeight="1">
      <c r="A86" s="491" t="s">
        <v>746</v>
      </c>
      <c r="B86" s="333" t="s">
        <v>1173</v>
      </c>
      <c r="C86" s="334"/>
      <c r="D86" s="334"/>
      <c r="E86" s="334"/>
      <c r="F86" s="334"/>
      <c r="G86" s="334"/>
      <c r="H86" s="334"/>
      <c r="I86" s="334"/>
      <c r="J86" s="335"/>
      <c r="K86" s="336"/>
      <c r="L86" s="336"/>
      <c r="M86" s="336"/>
      <c r="N86" s="309"/>
    </row>
    <row r="87" spans="1:14" ht="21" customHeight="1">
      <c r="A87" s="492"/>
      <c r="B87" s="307" t="s">
        <v>1174</v>
      </c>
      <c r="C87" s="334"/>
      <c r="D87" s="334"/>
      <c r="E87" s="334"/>
      <c r="F87" s="334"/>
      <c r="G87" s="334"/>
      <c r="H87" s="334"/>
      <c r="I87" s="334"/>
      <c r="J87" s="334"/>
      <c r="K87" s="334"/>
      <c r="L87" s="334"/>
      <c r="M87" s="334"/>
      <c r="N87" s="337"/>
    </row>
    <row r="88" spans="1:14" ht="21" customHeight="1">
      <c r="A88" s="492"/>
      <c r="B88" s="307" t="s">
        <v>1175</v>
      </c>
      <c r="C88" s="308"/>
      <c r="D88" s="308"/>
      <c r="E88" s="308"/>
      <c r="F88" s="308"/>
      <c r="G88" s="308"/>
      <c r="H88" s="308"/>
      <c r="I88" s="308"/>
      <c r="J88" s="308"/>
      <c r="K88" s="308"/>
      <c r="L88" s="308"/>
      <c r="M88" s="308"/>
      <c r="N88" s="309"/>
    </row>
    <row r="89" spans="1:14" ht="21" customHeight="1">
      <c r="A89" s="492"/>
      <c r="B89" s="307" t="s">
        <v>1176</v>
      </c>
      <c r="C89" s="308"/>
      <c r="D89" s="308"/>
      <c r="E89" s="308"/>
      <c r="F89" s="308"/>
      <c r="G89" s="308"/>
      <c r="H89" s="308"/>
      <c r="I89" s="308"/>
      <c r="J89" s="308"/>
      <c r="K89" s="308"/>
      <c r="L89" s="308"/>
      <c r="M89" s="308"/>
      <c r="N89" s="309"/>
    </row>
    <row r="90" spans="1:14" ht="21" customHeight="1">
      <c r="A90" s="493"/>
      <c r="B90" s="338"/>
      <c r="C90" s="334"/>
      <c r="D90" s="334"/>
      <c r="E90" s="334"/>
      <c r="F90" s="334"/>
      <c r="G90" s="334"/>
      <c r="H90" s="334"/>
      <c r="I90" s="334"/>
      <c r="J90" s="334"/>
      <c r="K90" s="334"/>
      <c r="L90" s="334"/>
      <c r="M90" s="334"/>
      <c r="N90" s="339"/>
    </row>
    <row r="93" spans="1:14" ht="21" customHeight="1">
      <c r="A93" s="310" t="s">
        <v>727</v>
      </c>
      <c r="B93" s="310" t="s">
        <v>728</v>
      </c>
      <c r="C93" s="310" t="s">
        <v>729</v>
      </c>
      <c r="D93" s="311" t="s">
        <v>730</v>
      </c>
      <c r="E93" s="312" t="s">
        <v>731</v>
      </c>
      <c r="F93" s="313" t="s">
        <v>732</v>
      </c>
      <c r="G93" s="313" t="s">
        <v>733</v>
      </c>
      <c r="H93" s="313" t="s">
        <v>734</v>
      </c>
      <c r="I93" s="314" t="s">
        <v>459</v>
      </c>
      <c r="J93" s="315" t="s">
        <v>16</v>
      </c>
      <c r="K93" s="315" t="s">
        <v>463</v>
      </c>
      <c r="L93" s="315" t="s">
        <v>460</v>
      </c>
      <c r="M93" s="315" t="s">
        <v>18</v>
      </c>
      <c r="N93" s="315" t="s">
        <v>735</v>
      </c>
    </row>
    <row r="94" spans="1:14" ht="21" customHeight="1">
      <c r="A94" s="488" t="s">
        <v>1065</v>
      </c>
      <c r="B94" s="343"/>
      <c r="C94" s="316" t="s">
        <v>736</v>
      </c>
      <c r="D94" s="317">
        <v>131</v>
      </c>
      <c r="E94" s="318" t="s">
        <v>1077</v>
      </c>
      <c r="F94" s="318" t="s">
        <v>1088</v>
      </c>
      <c r="G94" s="318"/>
      <c r="H94" s="318" t="s">
        <v>1089</v>
      </c>
      <c r="I94" s="319" t="s">
        <v>737</v>
      </c>
      <c r="J94" s="320" t="s">
        <v>1177</v>
      </c>
      <c r="K94" s="321" t="s">
        <v>1178</v>
      </c>
      <c r="L94" s="320" t="s">
        <v>1164</v>
      </c>
      <c r="M94" s="321" t="s">
        <v>1179</v>
      </c>
      <c r="N94" s="320"/>
    </row>
    <row r="95" spans="1:14" ht="21" customHeight="1">
      <c r="A95" s="489"/>
      <c r="B95" s="292" t="s">
        <v>1087</v>
      </c>
      <c r="C95" s="318" t="s">
        <v>738</v>
      </c>
      <c r="D95" s="317">
        <v>133</v>
      </c>
      <c r="E95" s="317"/>
      <c r="F95" s="318"/>
      <c r="G95" s="318"/>
      <c r="H95" s="318"/>
      <c r="I95" s="322" t="s">
        <v>739</v>
      </c>
      <c r="J95" s="323" t="s">
        <v>815</v>
      </c>
      <c r="K95" s="323" t="s">
        <v>815</v>
      </c>
      <c r="L95" s="323" t="s">
        <v>815</v>
      </c>
      <c r="M95" s="323" t="s">
        <v>815</v>
      </c>
      <c r="N95" s="324"/>
    </row>
    <row r="96" spans="1:14" ht="21" customHeight="1">
      <c r="A96" s="489"/>
      <c r="B96" s="292" t="s">
        <v>747</v>
      </c>
      <c r="C96" s="318" t="s">
        <v>740</v>
      </c>
      <c r="D96" s="318">
        <v>141</v>
      </c>
      <c r="E96" s="318"/>
      <c r="F96" s="318"/>
      <c r="G96" s="318"/>
      <c r="H96" s="318"/>
      <c r="I96" s="322" t="s">
        <v>741</v>
      </c>
      <c r="J96" s="325" t="s">
        <v>1055</v>
      </c>
      <c r="K96" s="325" t="s">
        <v>1056</v>
      </c>
      <c r="L96" s="325" t="s">
        <v>1056</v>
      </c>
      <c r="M96" s="326" t="s">
        <v>1058</v>
      </c>
      <c r="N96" s="323"/>
    </row>
    <row r="97" spans="1:14" ht="21" customHeight="1">
      <c r="A97" s="490"/>
      <c r="B97" s="293"/>
      <c r="C97" s="327" t="s">
        <v>742</v>
      </c>
      <c r="D97" s="328">
        <f>SUM(D94:D96)</f>
        <v>405</v>
      </c>
      <c r="E97" s="329"/>
      <c r="F97" s="329"/>
      <c r="G97" s="329"/>
      <c r="H97" s="329"/>
      <c r="I97" s="322" t="s">
        <v>743</v>
      </c>
      <c r="J97" s="325" t="s">
        <v>1059</v>
      </c>
      <c r="K97" s="326" t="s">
        <v>1057</v>
      </c>
      <c r="L97" s="326" t="s">
        <v>1057</v>
      </c>
      <c r="M97" s="326" t="s">
        <v>1057</v>
      </c>
      <c r="N97" s="323"/>
    </row>
    <row r="98" spans="1:14" ht="21" customHeight="1">
      <c r="A98" s="323" t="s">
        <v>744</v>
      </c>
      <c r="B98" s="330"/>
      <c r="C98" s="331"/>
      <c r="D98" s="332"/>
      <c r="E98" s="332"/>
      <c r="F98" s="332"/>
      <c r="G98" s="332" t="s">
        <v>1069</v>
      </c>
      <c r="H98" s="332"/>
      <c r="I98" s="322" t="s">
        <v>745</v>
      </c>
      <c r="J98" s="294" t="s">
        <v>749</v>
      </c>
      <c r="K98" s="294" t="s">
        <v>749</v>
      </c>
      <c r="L98" s="294" t="s">
        <v>749</v>
      </c>
      <c r="M98" s="294"/>
      <c r="N98" s="323"/>
    </row>
    <row r="99" spans="1:14" ht="21" customHeight="1">
      <c r="A99" s="491" t="s">
        <v>746</v>
      </c>
      <c r="B99" s="333" t="s">
        <v>1180</v>
      </c>
      <c r="C99" s="334"/>
      <c r="D99" s="334"/>
      <c r="E99" s="334"/>
      <c r="F99" s="334"/>
      <c r="G99" s="334"/>
      <c r="H99" s="334"/>
      <c r="I99" s="334"/>
      <c r="J99" s="335"/>
      <c r="K99" s="336"/>
      <c r="L99" s="336"/>
      <c r="M99" s="336"/>
      <c r="N99" s="309"/>
    </row>
    <row r="100" spans="1:14" ht="21" customHeight="1">
      <c r="A100" s="492"/>
      <c r="B100" s="307"/>
      <c r="C100" s="334"/>
      <c r="D100" s="334"/>
      <c r="E100" s="334"/>
      <c r="F100" s="334"/>
      <c r="G100" s="334"/>
      <c r="H100" s="334"/>
      <c r="I100" s="334"/>
      <c r="J100" s="334"/>
      <c r="K100" s="334"/>
      <c r="L100" s="334"/>
      <c r="M100" s="334"/>
      <c r="N100" s="337"/>
    </row>
    <row r="101" spans="1:14" ht="21" customHeight="1">
      <c r="A101" s="492"/>
      <c r="B101" s="307"/>
      <c r="C101" s="308"/>
      <c r="D101" s="308"/>
      <c r="E101" s="308"/>
      <c r="F101" s="308"/>
      <c r="G101" s="308"/>
      <c r="H101" s="308"/>
      <c r="I101" s="308"/>
      <c r="J101" s="308"/>
      <c r="K101" s="308"/>
      <c r="L101" s="308"/>
      <c r="M101" s="308"/>
      <c r="N101" s="309"/>
    </row>
    <row r="102" spans="1:14" ht="21" customHeight="1">
      <c r="A102" s="492"/>
      <c r="B102" s="307"/>
      <c r="C102" s="308"/>
      <c r="D102" s="308"/>
      <c r="E102" s="308"/>
      <c r="F102" s="308"/>
      <c r="G102" s="308"/>
      <c r="H102" s="308"/>
      <c r="I102" s="308"/>
      <c r="J102" s="308"/>
      <c r="K102" s="308"/>
      <c r="L102" s="308"/>
      <c r="M102" s="308"/>
      <c r="N102" s="309"/>
    </row>
    <row r="103" spans="1:14" ht="21" customHeight="1">
      <c r="A103" s="493"/>
      <c r="B103" s="338"/>
      <c r="C103" s="334"/>
      <c r="D103" s="334"/>
      <c r="E103" s="334"/>
      <c r="F103" s="334"/>
      <c r="G103" s="334"/>
      <c r="H103" s="334"/>
      <c r="I103" s="334"/>
      <c r="J103" s="334"/>
      <c r="K103" s="334"/>
      <c r="L103" s="334"/>
      <c r="M103" s="334"/>
      <c r="N103" s="339"/>
    </row>
    <row r="106" spans="1:14" ht="21" customHeight="1">
      <c r="A106" s="310" t="s">
        <v>727</v>
      </c>
      <c r="B106" s="310" t="s">
        <v>728</v>
      </c>
      <c r="C106" s="310" t="s">
        <v>729</v>
      </c>
      <c r="D106" s="311" t="s">
        <v>730</v>
      </c>
      <c r="E106" s="312" t="s">
        <v>731</v>
      </c>
      <c r="F106" s="313" t="s">
        <v>732</v>
      </c>
      <c r="G106" s="313" t="s">
        <v>733</v>
      </c>
      <c r="H106" s="313" t="s">
        <v>734</v>
      </c>
      <c r="I106" s="314" t="s">
        <v>459</v>
      </c>
      <c r="J106" s="315" t="s">
        <v>16</v>
      </c>
      <c r="K106" s="315" t="s">
        <v>463</v>
      </c>
      <c r="L106" s="315" t="s">
        <v>460</v>
      </c>
      <c r="M106" s="315" t="s">
        <v>18</v>
      </c>
      <c r="N106" s="315" t="s">
        <v>735</v>
      </c>
    </row>
    <row r="107" spans="1:14" ht="21" customHeight="1">
      <c r="A107" s="488" t="s">
        <v>1065</v>
      </c>
      <c r="B107" s="343"/>
      <c r="C107" s="316" t="s">
        <v>736</v>
      </c>
      <c r="D107" s="317">
        <v>131</v>
      </c>
      <c r="E107" s="318"/>
      <c r="F107" s="318" t="s">
        <v>1079</v>
      </c>
      <c r="G107" s="318" t="s">
        <v>1084</v>
      </c>
      <c r="H107" s="318" t="s">
        <v>1092</v>
      </c>
      <c r="I107" s="319" t="s">
        <v>737</v>
      </c>
      <c r="J107" s="320"/>
      <c r="K107" s="321" t="s">
        <v>1181</v>
      </c>
      <c r="L107" s="320" t="s">
        <v>1182</v>
      </c>
      <c r="M107" s="321" t="s">
        <v>1183</v>
      </c>
      <c r="N107" s="320"/>
    </row>
    <row r="108" spans="1:14" ht="21" customHeight="1">
      <c r="A108" s="489"/>
      <c r="B108" s="292" t="s">
        <v>1090</v>
      </c>
      <c r="C108" s="318" t="s">
        <v>738</v>
      </c>
      <c r="D108" s="317">
        <v>133</v>
      </c>
      <c r="E108" s="317"/>
      <c r="F108" s="318"/>
      <c r="G108" s="318"/>
      <c r="H108" s="318"/>
      <c r="I108" s="322" t="s">
        <v>739</v>
      </c>
      <c r="J108" s="323" t="s">
        <v>815</v>
      </c>
      <c r="K108" s="323" t="s">
        <v>815</v>
      </c>
      <c r="L108" s="323" t="s">
        <v>815</v>
      </c>
      <c r="M108" s="323" t="s">
        <v>815</v>
      </c>
      <c r="N108" s="324"/>
    </row>
    <row r="109" spans="1:14" ht="21" customHeight="1">
      <c r="A109" s="489"/>
      <c r="B109" s="292" t="s">
        <v>747</v>
      </c>
      <c r="C109" s="318" t="s">
        <v>740</v>
      </c>
      <c r="D109" s="318">
        <v>141</v>
      </c>
      <c r="E109" s="318"/>
      <c r="F109" s="318"/>
      <c r="G109" s="318"/>
      <c r="H109" s="318"/>
      <c r="I109" s="322" t="s">
        <v>741</v>
      </c>
      <c r="J109" s="325" t="s">
        <v>1055</v>
      </c>
      <c r="K109" s="325" t="s">
        <v>1056</v>
      </c>
      <c r="L109" s="325" t="s">
        <v>1056</v>
      </c>
      <c r="M109" s="326" t="s">
        <v>1058</v>
      </c>
      <c r="N109" s="323"/>
    </row>
    <row r="110" spans="1:14" ht="21" customHeight="1">
      <c r="A110" s="490"/>
      <c r="B110" s="293"/>
      <c r="C110" s="327" t="s">
        <v>742</v>
      </c>
      <c r="D110" s="328">
        <f>SUM(D107:D109)</f>
        <v>405</v>
      </c>
      <c r="E110" s="329"/>
      <c r="F110" s="329"/>
      <c r="G110" s="329"/>
      <c r="H110" s="329"/>
      <c r="I110" s="322" t="s">
        <v>743</v>
      </c>
      <c r="J110" s="325" t="s">
        <v>1059</v>
      </c>
      <c r="K110" s="326" t="s">
        <v>1057</v>
      </c>
      <c r="L110" s="326" t="s">
        <v>1057</v>
      </c>
      <c r="M110" s="326" t="s">
        <v>1057</v>
      </c>
      <c r="N110" s="323"/>
    </row>
    <row r="111" spans="1:14" ht="21" customHeight="1">
      <c r="A111" s="323" t="s">
        <v>744</v>
      </c>
      <c r="B111" s="330"/>
      <c r="C111" s="331"/>
      <c r="D111" s="332"/>
      <c r="E111" s="332" t="s">
        <v>1091</v>
      </c>
      <c r="F111" s="332"/>
      <c r="G111" s="332"/>
      <c r="H111" s="332"/>
      <c r="I111" s="322" t="s">
        <v>745</v>
      </c>
      <c r="J111" s="294" t="s">
        <v>749</v>
      </c>
      <c r="K111" s="294" t="s">
        <v>749</v>
      </c>
      <c r="L111" s="294" t="s">
        <v>749</v>
      </c>
      <c r="M111" s="294"/>
      <c r="N111" s="323"/>
    </row>
    <row r="112" spans="1:14" ht="21" customHeight="1">
      <c r="A112" s="491" t="s">
        <v>746</v>
      </c>
      <c r="B112" s="333" t="s">
        <v>1184</v>
      </c>
      <c r="C112" s="334"/>
      <c r="D112" s="334"/>
      <c r="E112" s="334"/>
      <c r="F112" s="334"/>
      <c r="G112" s="334"/>
      <c r="H112" s="334"/>
      <c r="I112" s="334"/>
      <c r="J112" s="335"/>
      <c r="K112" s="336"/>
      <c r="L112" s="336"/>
      <c r="M112" s="336"/>
      <c r="N112" s="309"/>
    </row>
    <row r="113" spans="1:14" ht="21" customHeight="1">
      <c r="A113" s="492"/>
      <c r="B113" s="307" t="s">
        <v>1185</v>
      </c>
      <c r="C113" s="334"/>
      <c r="D113" s="334"/>
      <c r="E113" s="334"/>
      <c r="F113" s="334"/>
      <c r="G113" s="334"/>
      <c r="H113" s="334"/>
      <c r="I113" s="334"/>
      <c r="J113" s="334"/>
      <c r="K113" s="334"/>
      <c r="L113" s="334"/>
      <c r="M113" s="334"/>
      <c r="N113" s="337"/>
    </row>
    <row r="114" spans="1:14" ht="21" customHeight="1">
      <c r="A114" s="492"/>
      <c r="B114" s="307" t="s">
        <v>1186</v>
      </c>
      <c r="C114" s="308"/>
      <c r="D114" s="308"/>
      <c r="E114" s="308"/>
      <c r="F114" s="308"/>
      <c r="G114" s="308"/>
      <c r="H114" s="308"/>
      <c r="I114" s="308"/>
      <c r="J114" s="308"/>
      <c r="K114" s="308"/>
      <c r="L114" s="308"/>
      <c r="M114" s="308"/>
      <c r="N114" s="309"/>
    </row>
    <row r="115" spans="1:14" ht="21" customHeight="1">
      <c r="A115" s="492"/>
      <c r="B115" s="307"/>
      <c r="C115" s="308"/>
      <c r="D115" s="308"/>
      <c r="E115" s="308"/>
      <c r="F115" s="308"/>
      <c r="G115" s="308"/>
      <c r="H115" s="308"/>
      <c r="I115" s="308"/>
      <c r="J115" s="308"/>
      <c r="K115" s="308"/>
      <c r="L115" s="308"/>
      <c r="M115" s="308"/>
      <c r="N115" s="309"/>
    </row>
    <row r="116" spans="1:14" ht="21" customHeight="1">
      <c r="A116" s="493"/>
      <c r="B116" s="338"/>
      <c r="C116" s="334"/>
      <c r="D116" s="334"/>
      <c r="E116" s="334"/>
      <c r="F116" s="334"/>
      <c r="G116" s="334"/>
      <c r="H116" s="334"/>
      <c r="I116" s="334"/>
      <c r="J116" s="334"/>
      <c r="K116" s="334"/>
      <c r="L116" s="334"/>
      <c r="M116" s="334"/>
      <c r="N116" s="339"/>
    </row>
    <row r="119" spans="1:14" ht="21" customHeight="1">
      <c r="A119" s="310" t="s">
        <v>727</v>
      </c>
      <c r="B119" s="310" t="s">
        <v>728</v>
      </c>
      <c r="C119" s="310" t="s">
        <v>729</v>
      </c>
      <c r="D119" s="311" t="s">
        <v>730</v>
      </c>
      <c r="E119" s="312" t="s">
        <v>731</v>
      </c>
      <c r="F119" s="313" t="s">
        <v>732</v>
      </c>
      <c r="G119" s="313" t="s">
        <v>733</v>
      </c>
      <c r="H119" s="313" t="s">
        <v>734</v>
      </c>
      <c r="I119" s="314" t="s">
        <v>459</v>
      </c>
      <c r="J119" s="315" t="s">
        <v>16</v>
      </c>
      <c r="K119" s="315" t="s">
        <v>463</v>
      </c>
      <c r="L119" s="315" t="s">
        <v>460</v>
      </c>
      <c r="M119" s="315" t="s">
        <v>18</v>
      </c>
      <c r="N119" s="315" t="s">
        <v>735</v>
      </c>
    </row>
    <row r="120" spans="1:14" ht="21" customHeight="1">
      <c r="A120" s="488" t="s">
        <v>1065</v>
      </c>
      <c r="B120" s="343"/>
      <c r="C120" s="316" t="s">
        <v>736</v>
      </c>
      <c r="D120" s="317">
        <v>496</v>
      </c>
      <c r="E120" s="318"/>
      <c r="F120" s="318" t="s">
        <v>69</v>
      </c>
      <c r="G120" s="318" t="s">
        <v>1094</v>
      </c>
      <c r="H120" s="318" t="s">
        <v>1092</v>
      </c>
      <c r="I120" s="319" t="s">
        <v>737</v>
      </c>
      <c r="J120" s="320" t="s">
        <v>1187</v>
      </c>
      <c r="K120" s="321" t="s">
        <v>1188</v>
      </c>
      <c r="L120" s="320" t="s">
        <v>1189</v>
      </c>
      <c r="M120" s="321" t="s">
        <v>1190</v>
      </c>
      <c r="N120" s="320"/>
    </row>
    <row r="121" spans="1:14" ht="21" customHeight="1">
      <c r="A121" s="489"/>
      <c r="B121" s="292" t="s">
        <v>1093</v>
      </c>
      <c r="C121" s="318" t="s">
        <v>738</v>
      </c>
      <c r="D121" s="317">
        <v>456</v>
      </c>
      <c r="E121" s="317"/>
      <c r="F121" s="318"/>
      <c r="G121" s="318"/>
      <c r="H121" s="318"/>
      <c r="I121" s="322" t="s">
        <v>739</v>
      </c>
      <c r="J121" s="323" t="s">
        <v>815</v>
      </c>
      <c r="K121" s="323" t="s">
        <v>815</v>
      </c>
      <c r="L121" s="323" t="s">
        <v>815</v>
      </c>
      <c r="M121" s="323" t="s">
        <v>815</v>
      </c>
      <c r="N121" s="324"/>
    </row>
    <row r="122" spans="1:14" ht="21" customHeight="1">
      <c r="A122" s="489"/>
      <c r="B122" s="292" t="s">
        <v>747</v>
      </c>
      <c r="C122" s="318" t="s">
        <v>740</v>
      </c>
      <c r="D122" s="318">
        <v>490</v>
      </c>
      <c r="E122" s="318"/>
      <c r="F122" s="318"/>
      <c r="G122" s="318"/>
      <c r="H122" s="318"/>
      <c r="I122" s="322" t="s">
        <v>741</v>
      </c>
      <c r="J122" s="325" t="s">
        <v>1055</v>
      </c>
      <c r="K122" s="325" t="s">
        <v>1056</v>
      </c>
      <c r="L122" s="325" t="s">
        <v>1056</v>
      </c>
      <c r="M122" s="326" t="s">
        <v>1058</v>
      </c>
      <c r="N122" s="323"/>
    </row>
    <row r="123" spans="1:14" ht="21" customHeight="1">
      <c r="A123" s="490"/>
      <c r="B123" s="293"/>
      <c r="C123" s="327" t="s">
        <v>742</v>
      </c>
      <c r="D123" s="328">
        <f>SUM(D120:D122)</f>
        <v>1442</v>
      </c>
      <c r="E123" s="329"/>
      <c r="F123" s="329"/>
      <c r="G123" s="329"/>
      <c r="H123" s="329"/>
      <c r="I123" s="322" t="s">
        <v>743</v>
      </c>
      <c r="J123" s="325" t="s">
        <v>1059</v>
      </c>
      <c r="K123" s="326" t="s">
        <v>1057</v>
      </c>
      <c r="L123" s="326" t="s">
        <v>1057</v>
      </c>
      <c r="M123" s="326" t="s">
        <v>1057</v>
      </c>
      <c r="N123" s="323"/>
    </row>
    <row r="124" spans="1:14" ht="21" customHeight="1">
      <c r="A124" s="323" t="s">
        <v>744</v>
      </c>
      <c r="B124" s="330"/>
      <c r="C124" s="331"/>
      <c r="D124" s="332"/>
      <c r="E124" s="332" t="s">
        <v>1069</v>
      </c>
      <c r="F124" s="332"/>
      <c r="G124" s="332"/>
      <c r="H124" s="332"/>
      <c r="I124" s="322" t="s">
        <v>745</v>
      </c>
      <c r="J124" s="294" t="s">
        <v>749</v>
      </c>
      <c r="K124" s="294" t="s">
        <v>749</v>
      </c>
      <c r="L124" s="294" t="s">
        <v>749</v>
      </c>
      <c r="M124" s="294"/>
      <c r="N124" s="323"/>
    </row>
    <row r="125" spans="1:14" ht="21" customHeight="1">
      <c r="A125" s="491" t="s">
        <v>746</v>
      </c>
      <c r="B125" s="333" t="s">
        <v>1191</v>
      </c>
      <c r="C125" s="334"/>
      <c r="D125" s="334"/>
      <c r="E125" s="334"/>
      <c r="F125" s="334"/>
      <c r="G125" s="334"/>
      <c r="H125" s="334"/>
      <c r="I125" s="334"/>
      <c r="J125" s="335"/>
      <c r="K125" s="336"/>
      <c r="L125" s="336"/>
      <c r="M125" s="336"/>
      <c r="N125" s="309"/>
    </row>
    <row r="126" spans="1:14" ht="21" customHeight="1">
      <c r="A126" s="492"/>
      <c r="B126" s="307" t="s">
        <v>1192</v>
      </c>
      <c r="C126" s="334"/>
      <c r="D126" s="334"/>
      <c r="E126" s="334"/>
      <c r="F126" s="334"/>
      <c r="G126" s="334"/>
      <c r="H126" s="334"/>
      <c r="I126" s="334"/>
      <c r="J126" s="334"/>
      <c r="K126" s="334"/>
      <c r="L126" s="334"/>
      <c r="M126" s="334"/>
      <c r="N126" s="337"/>
    </row>
    <row r="127" spans="1:14" ht="21" customHeight="1">
      <c r="A127" s="492"/>
      <c r="B127" s="307" t="s">
        <v>1193</v>
      </c>
      <c r="C127" s="308"/>
      <c r="D127" s="308"/>
      <c r="E127" s="308"/>
      <c r="F127" s="308"/>
      <c r="G127" s="308"/>
      <c r="H127" s="308"/>
      <c r="I127" s="308"/>
      <c r="J127" s="308"/>
      <c r="K127" s="308"/>
      <c r="L127" s="308"/>
      <c r="M127" s="308"/>
      <c r="N127" s="309"/>
    </row>
    <row r="128" spans="1:14" ht="21" customHeight="1">
      <c r="A128" s="492"/>
      <c r="B128" s="307" t="s">
        <v>1194</v>
      </c>
      <c r="C128" s="308"/>
      <c r="D128" s="308"/>
      <c r="E128" s="308"/>
      <c r="F128" s="308"/>
      <c r="G128" s="308"/>
      <c r="H128" s="308"/>
      <c r="I128" s="308"/>
      <c r="J128" s="308"/>
      <c r="K128" s="308"/>
      <c r="L128" s="308"/>
      <c r="M128" s="308"/>
      <c r="N128" s="309"/>
    </row>
    <row r="129" spans="1:14" ht="21" customHeight="1">
      <c r="A129" s="493"/>
      <c r="B129" s="338" t="s">
        <v>1195</v>
      </c>
      <c r="C129" s="334"/>
      <c r="D129" s="334"/>
      <c r="E129" s="334"/>
      <c r="F129" s="334"/>
      <c r="G129" s="334"/>
      <c r="H129" s="334"/>
      <c r="I129" s="334"/>
      <c r="J129" s="334"/>
      <c r="K129" s="334"/>
      <c r="L129" s="334"/>
      <c r="M129" s="334"/>
      <c r="N129" s="339"/>
    </row>
    <row r="131" spans="1:14" ht="21" customHeight="1">
      <c r="A131" s="310" t="s">
        <v>727</v>
      </c>
      <c r="B131" s="310" t="s">
        <v>728</v>
      </c>
      <c r="C131" s="310" t="s">
        <v>729</v>
      </c>
      <c r="D131" s="311" t="s">
        <v>730</v>
      </c>
      <c r="E131" s="312" t="s">
        <v>731</v>
      </c>
      <c r="F131" s="313" t="s">
        <v>732</v>
      </c>
      <c r="G131" s="313" t="s">
        <v>733</v>
      </c>
      <c r="H131" s="313" t="s">
        <v>734</v>
      </c>
      <c r="I131" s="314" t="s">
        <v>459</v>
      </c>
      <c r="J131" s="315" t="s">
        <v>16</v>
      </c>
      <c r="K131" s="315" t="s">
        <v>463</v>
      </c>
      <c r="L131" s="315" t="s">
        <v>460</v>
      </c>
      <c r="M131" s="315" t="s">
        <v>18</v>
      </c>
      <c r="N131" s="315" t="s">
        <v>735</v>
      </c>
    </row>
    <row r="132" spans="1:14" ht="21" customHeight="1">
      <c r="A132" s="488" t="s">
        <v>1095</v>
      </c>
      <c r="B132" s="343"/>
      <c r="C132" s="316" t="s">
        <v>736</v>
      </c>
      <c r="D132" s="317">
        <v>239</v>
      </c>
      <c r="E132" s="318"/>
      <c r="F132" s="318"/>
      <c r="G132" s="318" t="s">
        <v>1079</v>
      </c>
      <c r="H132" s="318" t="s">
        <v>1075</v>
      </c>
      <c r="I132" s="319" t="s">
        <v>737</v>
      </c>
      <c r="J132" s="320" t="s">
        <v>1196</v>
      </c>
      <c r="K132" s="321" t="s">
        <v>1197</v>
      </c>
      <c r="L132" s="320"/>
      <c r="M132" s="321" t="s">
        <v>1198</v>
      </c>
      <c r="N132" s="320"/>
    </row>
    <row r="133" spans="1:14" ht="21" customHeight="1">
      <c r="A133" s="489"/>
      <c r="B133" s="292" t="s">
        <v>1096</v>
      </c>
      <c r="C133" s="318" t="s">
        <v>738</v>
      </c>
      <c r="D133" s="317">
        <v>191</v>
      </c>
      <c r="E133" s="317" t="s">
        <v>1089</v>
      </c>
      <c r="F133" s="318"/>
      <c r="G133" s="318"/>
      <c r="H133" s="318"/>
      <c r="I133" s="322" t="s">
        <v>739</v>
      </c>
      <c r="J133" s="323" t="s">
        <v>815</v>
      </c>
      <c r="K133" s="323" t="s">
        <v>815</v>
      </c>
      <c r="L133" s="323" t="s">
        <v>815</v>
      </c>
      <c r="M133" s="323" t="s">
        <v>815</v>
      </c>
      <c r="N133" s="324"/>
    </row>
    <row r="134" spans="1:14" ht="21" customHeight="1">
      <c r="A134" s="489"/>
      <c r="B134" s="292" t="s">
        <v>747</v>
      </c>
      <c r="C134" s="318" t="s">
        <v>740</v>
      </c>
      <c r="D134" s="318">
        <v>221</v>
      </c>
      <c r="E134" s="318"/>
      <c r="F134" s="318" t="s">
        <v>1201</v>
      </c>
      <c r="G134" s="318"/>
      <c r="H134" s="318"/>
      <c r="I134" s="322" t="s">
        <v>741</v>
      </c>
      <c r="J134" s="325" t="s">
        <v>1055</v>
      </c>
      <c r="K134" s="325" t="s">
        <v>1056</v>
      </c>
      <c r="L134" s="325" t="s">
        <v>1056</v>
      </c>
      <c r="M134" s="326" t="s">
        <v>1058</v>
      </c>
      <c r="N134" s="323"/>
    </row>
    <row r="135" spans="1:14" ht="21" customHeight="1">
      <c r="A135" s="490"/>
      <c r="B135" s="293"/>
      <c r="C135" s="327" t="s">
        <v>742</v>
      </c>
      <c r="D135" s="328">
        <f>SUM(D132:D134)</f>
        <v>651</v>
      </c>
      <c r="E135" s="329"/>
      <c r="F135" s="329"/>
      <c r="G135" s="329"/>
      <c r="H135" s="329"/>
      <c r="I135" s="322" t="s">
        <v>743</v>
      </c>
      <c r="J135" s="325" t="s">
        <v>1059</v>
      </c>
      <c r="K135" s="326" t="s">
        <v>1057</v>
      </c>
      <c r="L135" s="326" t="s">
        <v>1057</v>
      </c>
      <c r="M135" s="326" t="s">
        <v>1057</v>
      </c>
      <c r="N135" s="323"/>
    </row>
    <row r="136" spans="1:14" ht="21" customHeight="1">
      <c r="A136" s="323" t="s">
        <v>744</v>
      </c>
      <c r="B136" s="330"/>
      <c r="C136" s="331"/>
      <c r="D136" s="332"/>
      <c r="E136" s="332" t="s">
        <v>1069</v>
      </c>
      <c r="F136" s="332"/>
      <c r="G136" s="332"/>
      <c r="H136" s="332"/>
      <c r="I136" s="322" t="s">
        <v>745</v>
      </c>
      <c r="J136" s="294" t="s">
        <v>749</v>
      </c>
      <c r="K136" s="294" t="s">
        <v>749</v>
      </c>
      <c r="L136" s="294" t="s">
        <v>749</v>
      </c>
      <c r="M136" s="294"/>
      <c r="N136" s="323"/>
    </row>
    <row r="137" spans="1:14" ht="21" customHeight="1">
      <c r="A137" s="491" t="s">
        <v>791</v>
      </c>
      <c r="B137" s="333" t="s">
        <v>1199</v>
      </c>
      <c r="C137" s="334"/>
      <c r="D137" s="334"/>
      <c r="E137" s="334"/>
      <c r="F137" s="334"/>
      <c r="G137" s="334"/>
      <c r="H137" s="334"/>
      <c r="I137" s="334"/>
      <c r="J137" s="335"/>
      <c r="K137" s="336"/>
      <c r="L137" s="336"/>
      <c r="M137" s="336"/>
      <c r="N137" s="309"/>
    </row>
    <row r="138" spans="1:14" ht="21" customHeight="1">
      <c r="A138" s="492"/>
      <c r="B138" s="307" t="s">
        <v>1200</v>
      </c>
      <c r="C138" s="334"/>
      <c r="D138" s="334"/>
      <c r="E138" s="334"/>
      <c r="F138" s="334"/>
      <c r="G138" s="334"/>
      <c r="H138" s="334"/>
      <c r="I138" s="334"/>
      <c r="J138" s="334"/>
      <c r="K138" s="334"/>
      <c r="L138" s="334"/>
      <c r="M138" s="334"/>
      <c r="N138" s="337"/>
    </row>
    <row r="139" spans="1:14" ht="21" customHeight="1">
      <c r="A139" s="492"/>
      <c r="B139" s="307" t="s">
        <v>1202</v>
      </c>
      <c r="C139" s="308"/>
      <c r="D139" s="308"/>
      <c r="E139" s="308"/>
      <c r="F139" s="308"/>
      <c r="G139" s="308"/>
      <c r="H139" s="308"/>
      <c r="I139" s="308"/>
      <c r="J139" s="308"/>
      <c r="K139" s="308"/>
      <c r="L139" s="308"/>
      <c r="M139" s="308"/>
      <c r="N139" s="309"/>
    </row>
    <row r="140" spans="1:14" ht="21" customHeight="1">
      <c r="A140" s="492"/>
      <c r="B140" s="307" t="s">
        <v>1203</v>
      </c>
      <c r="C140" s="308"/>
      <c r="D140" s="308"/>
      <c r="E140" s="308"/>
      <c r="F140" s="308"/>
      <c r="G140" s="308"/>
      <c r="H140" s="308"/>
      <c r="I140" s="308"/>
      <c r="J140" s="308"/>
      <c r="K140" s="308"/>
      <c r="L140" s="308"/>
      <c r="M140" s="308"/>
      <c r="N140" s="309"/>
    </row>
    <row r="141" spans="1:14" ht="21" customHeight="1">
      <c r="A141" s="492"/>
      <c r="B141" s="338"/>
      <c r="C141" s="334"/>
      <c r="D141" s="334"/>
      <c r="E141" s="334"/>
      <c r="F141" s="334"/>
      <c r="G141" s="334"/>
      <c r="H141" s="334"/>
      <c r="I141" s="334"/>
      <c r="J141" s="334"/>
      <c r="K141" s="334"/>
      <c r="L141" s="334"/>
      <c r="M141" s="334"/>
      <c r="N141" s="339"/>
    </row>
    <row r="142" spans="1:14" ht="21" customHeight="1">
      <c r="A142" s="493"/>
      <c r="B142" s="338"/>
      <c r="C142" s="334"/>
      <c r="D142" s="334"/>
      <c r="E142" s="334"/>
      <c r="F142" s="334"/>
      <c r="G142" s="334"/>
      <c r="H142" s="334"/>
      <c r="I142" s="334"/>
      <c r="J142" s="334"/>
      <c r="K142" s="334"/>
      <c r="L142" s="334"/>
      <c r="M142" s="334"/>
      <c r="N142" s="339"/>
    </row>
    <row r="145" spans="1:14" ht="21" customHeight="1">
      <c r="A145" s="310" t="s">
        <v>727</v>
      </c>
      <c r="B145" s="310" t="s">
        <v>728</v>
      </c>
      <c r="C145" s="310" t="s">
        <v>729</v>
      </c>
      <c r="D145" s="311" t="s">
        <v>730</v>
      </c>
      <c r="E145" s="312" t="s">
        <v>731</v>
      </c>
      <c r="F145" s="313" t="s">
        <v>732</v>
      </c>
      <c r="G145" s="313" t="s">
        <v>733</v>
      </c>
      <c r="H145" s="313" t="s">
        <v>734</v>
      </c>
      <c r="I145" s="314" t="s">
        <v>459</v>
      </c>
      <c r="J145" s="315" t="s">
        <v>16</v>
      </c>
      <c r="K145" s="315" t="s">
        <v>463</v>
      </c>
      <c r="L145" s="315" t="s">
        <v>460</v>
      </c>
      <c r="M145" s="315" t="s">
        <v>18</v>
      </c>
      <c r="N145" s="315" t="s">
        <v>735</v>
      </c>
    </row>
    <row r="146" spans="1:14" ht="21" customHeight="1">
      <c r="A146" s="488" t="s">
        <v>1095</v>
      </c>
      <c r="B146" s="343"/>
      <c r="C146" s="316" t="s">
        <v>736</v>
      </c>
      <c r="D146" s="317">
        <v>259</v>
      </c>
      <c r="E146" s="318" t="s">
        <v>1089</v>
      </c>
      <c r="F146" s="318"/>
      <c r="G146" s="318"/>
      <c r="H146" s="318" t="s">
        <v>1092</v>
      </c>
      <c r="I146" s="319" t="s">
        <v>737</v>
      </c>
      <c r="J146" s="320" t="s">
        <v>1204</v>
      </c>
      <c r="K146" s="321" t="s">
        <v>1205</v>
      </c>
      <c r="L146" s="320" t="s">
        <v>1206</v>
      </c>
      <c r="M146" s="321" t="s">
        <v>1207</v>
      </c>
      <c r="N146" s="320"/>
    </row>
    <row r="147" spans="1:14" ht="21" customHeight="1">
      <c r="A147" s="489"/>
      <c r="B147" s="292" t="s">
        <v>1097</v>
      </c>
      <c r="C147" s="318" t="s">
        <v>738</v>
      </c>
      <c r="D147" s="317">
        <v>288</v>
      </c>
      <c r="E147" s="317"/>
      <c r="F147" s="318" t="s">
        <v>1067</v>
      </c>
      <c r="G147" s="318"/>
      <c r="H147" s="318"/>
      <c r="I147" s="322" t="s">
        <v>739</v>
      </c>
      <c r="J147" s="323" t="s">
        <v>815</v>
      </c>
      <c r="K147" s="323" t="s">
        <v>815</v>
      </c>
      <c r="L147" s="323" t="s">
        <v>815</v>
      </c>
      <c r="M147" s="323" t="s">
        <v>815</v>
      </c>
      <c r="N147" s="324"/>
    </row>
    <row r="148" spans="1:14" ht="21" customHeight="1">
      <c r="A148" s="489"/>
      <c r="B148" s="292" t="s">
        <v>747</v>
      </c>
      <c r="C148" s="318" t="s">
        <v>740</v>
      </c>
      <c r="D148" s="318">
        <v>262</v>
      </c>
      <c r="E148" s="318"/>
      <c r="F148" s="318"/>
      <c r="G148" s="318"/>
      <c r="H148" s="318"/>
      <c r="I148" s="322" t="s">
        <v>741</v>
      </c>
      <c r="J148" s="325" t="s">
        <v>1055</v>
      </c>
      <c r="K148" s="325" t="s">
        <v>1056</v>
      </c>
      <c r="L148" s="325" t="s">
        <v>1056</v>
      </c>
      <c r="M148" s="326" t="s">
        <v>1058</v>
      </c>
      <c r="N148" s="323"/>
    </row>
    <row r="149" spans="1:14" ht="21" customHeight="1">
      <c r="A149" s="490"/>
      <c r="B149" s="293"/>
      <c r="C149" s="327" t="s">
        <v>742</v>
      </c>
      <c r="D149" s="328">
        <f>SUM(D146:D148)</f>
        <v>809</v>
      </c>
      <c r="E149" s="329"/>
      <c r="F149" s="329"/>
      <c r="G149" s="329"/>
      <c r="H149" s="329"/>
      <c r="I149" s="322" t="s">
        <v>743</v>
      </c>
      <c r="J149" s="325" t="s">
        <v>1059</v>
      </c>
      <c r="K149" s="326" t="s">
        <v>1057</v>
      </c>
      <c r="L149" s="326" t="s">
        <v>1057</v>
      </c>
      <c r="M149" s="326" t="s">
        <v>1057</v>
      </c>
      <c r="N149" s="323"/>
    </row>
    <row r="150" spans="1:14" ht="21" customHeight="1">
      <c r="A150" s="323" t="s">
        <v>744</v>
      </c>
      <c r="B150" s="330"/>
      <c r="C150" s="331"/>
      <c r="D150" s="332"/>
      <c r="E150" s="332"/>
      <c r="F150" s="332" t="s">
        <v>1069</v>
      </c>
      <c r="G150" s="332" t="s">
        <v>1069</v>
      </c>
      <c r="H150" s="332"/>
      <c r="I150" s="322" t="s">
        <v>745</v>
      </c>
      <c r="J150" s="294" t="s">
        <v>749</v>
      </c>
      <c r="K150" s="294" t="s">
        <v>749</v>
      </c>
      <c r="L150" s="294" t="s">
        <v>749</v>
      </c>
      <c r="M150" s="294"/>
      <c r="N150" s="323"/>
    </row>
    <row r="151" spans="1:14" ht="21" customHeight="1">
      <c r="A151" s="491" t="s">
        <v>746</v>
      </c>
      <c r="B151" s="333" t="s">
        <v>1210</v>
      </c>
      <c r="C151" s="334"/>
      <c r="D151" s="334"/>
      <c r="E151" s="334"/>
      <c r="F151" s="334"/>
      <c r="G151" s="334"/>
      <c r="H151" s="334"/>
      <c r="I151" s="334"/>
      <c r="J151" s="335"/>
      <c r="K151" s="336"/>
      <c r="L151" s="336"/>
      <c r="M151" s="336"/>
      <c r="N151" s="309"/>
    </row>
    <row r="152" spans="1:14" ht="21" customHeight="1">
      <c r="A152" s="492"/>
      <c r="B152" s="307" t="s">
        <v>1208</v>
      </c>
      <c r="C152" s="334"/>
      <c r="D152" s="334"/>
      <c r="E152" s="334"/>
      <c r="F152" s="334"/>
      <c r="G152" s="334"/>
      <c r="H152" s="334"/>
      <c r="I152" s="334"/>
      <c r="J152" s="334"/>
      <c r="K152" s="334"/>
      <c r="L152" s="334"/>
      <c r="M152" s="334"/>
      <c r="N152" s="337"/>
    </row>
    <row r="153" spans="1:14" ht="21" customHeight="1">
      <c r="A153" s="492"/>
      <c r="B153" s="307" t="s">
        <v>1209</v>
      </c>
      <c r="C153" s="308"/>
      <c r="D153" s="308"/>
      <c r="E153" s="308"/>
      <c r="F153" s="308"/>
      <c r="G153" s="308"/>
      <c r="H153" s="308"/>
      <c r="I153" s="308"/>
      <c r="J153" s="308"/>
      <c r="K153" s="308"/>
      <c r="L153" s="308"/>
      <c r="M153" s="308"/>
      <c r="N153" s="309"/>
    </row>
    <row r="154" spans="1:14" ht="21" customHeight="1">
      <c r="A154" s="492"/>
      <c r="B154" s="307"/>
      <c r="C154" s="308"/>
      <c r="D154" s="308"/>
      <c r="E154" s="308"/>
      <c r="F154" s="308"/>
      <c r="G154" s="308"/>
      <c r="H154" s="308"/>
      <c r="I154" s="308"/>
      <c r="J154" s="308"/>
      <c r="K154" s="308"/>
      <c r="L154" s="308"/>
      <c r="M154" s="308"/>
      <c r="N154" s="309"/>
    </row>
    <row r="155" spans="1:14" ht="21" customHeight="1">
      <c r="A155" s="493"/>
      <c r="B155" s="338"/>
      <c r="C155" s="334"/>
      <c r="D155" s="334"/>
      <c r="E155" s="334"/>
      <c r="F155" s="334"/>
      <c r="G155" s="334"/>
      <c r="H155" s="334"/>
      <c r="I155" s="334"/>
      <c r="J155" s="334"/>
      <c r="K155" s="334"/>
      <c r="L155" s="334"/>
      <c r="M155" s="334"/>
      <c r="N155" s="339"/>
    </row>
    <row r="158" spans="1:14" ht="21" customHeight="1">
      <c r="A158" s="310" t="s">
        <v>727</v>
      </c>
      <c r="B158" s="310" t="s">
        <v>728</v>
      </c>
      <c r="C158" s="310" t="s">
        <v>729</v>
      </c>
      <c r="D158" s="311" t="s">
        <v>730</v>
      </c>
      <c r="E158" s="312" t="s">
        <v>731</v>
      </c>
      <c r="F158" s="313" t="s">
        <v>732</v>
      </c>
      <c r="G158" s="313" t="s">
        <v>733</v>
      </c>
      <c r="H158" s="313" t="s">
        <v>734</v>
      </c>
      <c r="I158" s="314" t="s">
        <v>459</v>
      </c>
      <c r="J158" s="315" t="s">
        <v>16</v>
      </c>
      <c r="K158" s="315" t="s">
        <v>463</v>
      </c>
      <c r="L158" s="315" t="s">
        <v>460</v>
      </c>
      <c r="M158" s="315" t="s">
        <v>18</v>
      </c>
      <c r="N158" s="315" t="s">
        <v>735</v>
      </c>
    </row>
    <row r="159" spans="1:14" ht="21" customHeight="1">
      <c r="A159" s="488" t="s">
        <v>1095</v>
      </c>
      <c r="B159" s="343"/>
      <c r="C159" s="316" t="s">
        <v>736</v>
      </c>
      <c r="D159" s="317">
        <v>60</v>
      </c>
      <c r="E159" s="318"/>
      <c r="F159" s="318" t="s">
        <v>1080</v>
      </c>
      <c r="G159" s="318" t="s">
        <v>1077</v>
      </c>
      <c r="H159" s="318" t="s">
        <v>1077</v>
      </c>
      <c r="I159" s="319" t="s">
        <v>737</v>
      </c>
      <c r="J159" s="320" t="s">
        <v>1213</v>
      </c>
      <c r="K159" s="321" t="s">
        <v>1214</v>
      </c>
      <c r="L159" s="320" t="s">
        <v>1215</v>
      </c>
      <c r="M159" s="321" t="s">
        <v>1216</v>
      </c>
      <c r="N159" s="320"/>
    </row>
    <row r="160" spans="1:14" ht="21" customHeight="1">
      <c r="A160" s="489"/>
      <c r="B160" s="292" t="s">
        <v>1098</v>
      </c>
      <c r="C160" s="318" t="s">
        <v>738</v>
      </c>
      <c r="D160" s="317">
        <v>62</v>
      </c>
      <c r="E160" s="317"/>
      <c r="F160" s="318"/>
      <c r="G160" s="318"/>
      <c r="H160" s="318"/>
      <c r="I160" s="322" t="s">
        <v>739</v>
      </c>
      <c r="J160" s="323" t="s">
        <v>815</v>
      </c>
      <c r="K160" s="323" t="s">
        <v>815</v>
      </c>
      <c r="L160" s="323" t="s">
        <v>815</v>
      </c>
      <c r="M160" s="323" t="s">
        <v>815</v>
      </c>
      <c r="N160" s="324"/>
    </row>
    <row r="161" spans="1:14" ht="21" customHeight="1">
      <c r="A161" s="489"/>
      <c r="B161" s="292" t="s">
        <v>747</v>
      </c>
      <c r="C161" s="318" t="s">
        <v>740</v>
      </c>
      <c r="D161" s="318">
        <v>57</v>
      </c>
      <c r="E161" s="318"/>
      <c r="F161" s="318"/>
      <c r="G161" s="318"/>
      <c r="H161" s="318"/>
      <c r="I161" s="322" t="s">
        <v>741</v>
      </c>
      <c r="J161" s="325" t="s">
        <v>1055</v>
      </c>
      <c r="K161" s="325" t="s">
        <v>1056</v>
      </c>
      <c r="L161" s="325" t="s">
        <v>1056</v>
      </c>
      <c r="M161" s="326" t="s">
        <v>1058</v>
      </c>
      <c r="N161" s="323"/>
    </row>
    <row r="162" spans="1:14" ht="21" customHeight="1">
      <c r="A162" s="490"/>
      <c r="B162" s="293"/>
      <c r="C162" s="327" t="s">
        <v>742</v>
      </c>
      <c r="D162" s="328">
        <f>SUM(D159:D161)</f>
        <v>179</v>
      </c>
      <c r="E162" s="329"/>
      <c r="F162" s="329"/>
      <c r="G162" s="329"/>
      <c r="H162" s="329"/>
      <c r="I162" s="322" t="s">
        <v>743</v>
      </c>
      <c r="J162" s="325" t="s">
        <v>1059</v>
      </c>
      <c r="K162" s="326" t="s">
        <v>1057</v>
      </c>
      <c r="L162" s="326" t="s">
        <v>1057</v>
      </c>
      <c r="M162" s="326" t="s">
        <v>1057</v>
      </c>
      <c r="N162" s="323"/>
    </row>
    <row r="163" spans="1:14" ht="21" customHeight="1">
      <c r="A163" s="323" t="s">
        <v>744</v>
      </c>
      <c r="B163" s="330"/>
      <c r="C163" s="331"/>
      <c r="D163" s="332"/>
      <c r="E163" s="332" t="s">
        <v>1069</v>
      </c>
      <c r="F163" s="332"/>
      <c r="G163" s="332"/>
      <c r="H163" s="332"/>
      <c r="I163" s="322" t="s">
        <v>745</v>
      </c>
      <c r="J163" s="294" t="s">
        <v>749</v>
      </c>
      <c r="K163" s="294" t="s">
        <v>749</v>
      </c>
      <c r="L163" s="294" t="s">
        <v>749</v>
      </c>
      <c r="M163" s="294"/>
      <c r="N163" s="323"/>
    </row>
    <row r="164" spans="1:14" ht="21" customHeight="1">
      <c r="A164" s="491" t="s">
        <v>746</v>
      </c>
      <c r="B164" s="333" t="s">
        <v>1217</v>
      </c>
      <c r="C164" s="334"/>
      <c r="D164" s="334"/>
      <c r="E164" s="334"/>
      <c r="F164" s="334"/>
      <c r="G164" s="334"/>
      <c r="H164" s="334"/>
      <c r="I164" s="334"/>
      <c r="J164" s="335"/>
      <c r="K164" s="336"/>
      <c r="L164" s="336"/>
      <c r="M164" s="336"/>
      <c r="N164" s="309"/>
    </row>
    <row r="165" spans="1:14" ht="21" customHeight="1">
      <c r="A165" s="492"/>
      <c r="B165" s="307" t="s">
        <v>1218</v>
      </c>
      <c r="C165" s="334"/>
      <c r="D165" s="334"/>
      <c r="E165" s="334"/>
      <c r="F165" s="334"/>
      <c r="G165" s="334"/>
      <c r="H165" s="334"/>
      <c r="I165" s="334"/>
      <c r="J165" s="334"/>
      <c r="K165" s="334"/>
      <c r="L165" s="334"/>
      <c r="M165" s="334"/>
      <c r="N165" s="337"/>
    </row>
    <row r="166" spans="1:14" ht="21" customHeight="1">
      <c r="A166" s="492"/>
      <c r="B166" s="307" t="s">
        <v>1219</v>
      </c>
      <c r="C166" s="308"/>
      <c r="D166" s="308"/>
      <c r="E166" s="308"/>
      <c r="F166" s="308"/>
      <c r="G166" s="308"/>
      <c r="H166" s="308"/>
      <c r="I166" s="308"/>
      <c r="J166" s="308"/>
      <c r="K166" s="308"/>
      <c r="L166" s="308"/>
      <c r="M166" s="308"/>
      <c r="N166" s="309"/>
    </row>
    <row r="167" spans="1:14" ht="21" customHeight="1">
      <c r="A167" s="492"/>
      <c r="B167" s="307"/>
      <c r="C167" s="308"/>
      <c r="D167" s="308"/>
      <c r="E167" s="308"/>
      <c r="F167" s="308"/>
      <c r="G167" s="308"/>
      <c r="H167" s="308"/>
      <c r="I167" s="308"/>
      <c r="J167" s="308"/>
      <c r="K167" s="308"/>
      <c r="L167" s="308"/>
      <c r="M167" s="308"/>
      <c r="N167" s="309"/>
    </row>
    <row r="168" spans="1:14" ht="21" customHeight="1">
      <c r="A168" s="493"/>
      <c r="B168" s="338"/>
      <c r="C168" s="334"/>
      <c r="D168" s="334"/>
      <c r="E168" s="334"/>
      <c r="F168" s="334"/>
      <c r="G168" s="334"/>
      <c r="H168" s="334"/>
      <c r="I168" s="334"/>
      <c r="J168" s="334"/>
      <c r="K168" s="334"/>
      <c r="L168" s="334"/>
      <c r="M168" s="334"/>
      <c r="N168" s="339"/>
    </row>
    <row r="170" spans="1:14">
      <c r="A170" s="291"/>
      <c r="B170" s="291"/>
      <c r="C170" s="291"/>
    </row>
    <row r="171" spans="1:14" ht="21" customHeight="1">
      <c r="A171" s="310" t="s">
        <v>727</v>
      </c>
      <c r="B171" s="310" t="s">
        <v>728</v>
      </c>
      <c r="C171" s="310" t="s">
        <v>729</v>
      </c>
      <c r="D171" s="311" t="s">
        <v>730</v>
      </c>
      <c r="E171" s="312" t="s">
        <v>731</v>
      </c>
      <c r="F171" s="313" t="s">
        <v>732</v>
      </c>
      <c r="G171" s="313" t="s">
        <v>733</v>
      </c>
      <c r="H171" s="313" t="s">
        <v>734</v>
      </c>
      <c r="I171" s="314" t="s">
        <v>459</v>
      </c>
      <c r="J171" s="315" t="s">
        <v>16</v>
      </c>
      <c r="K171" s="315" t="s">
        <v>463</v>
      </c>
      <c r="L171" s="315" t="s">
        <v>460</v>
      </c>
      <c r="M171" s="315" t="s">
        <v>18</v>
      </c>
      <c r="N171" s="315" t="s">
        <v>735</v>
      </c>
    </row>
    <row r="172" spans="1:14" ht="21" customHeight="1">
      <c r="A172" s="488" t="s">
        <v>1095</v>
      </c>
      <c r="B172" s="343"/>
      <c r="C172" s="316" t="s">
        <v>736</v>
      </c>
      <c r="D172" s="317">
        <v>267</v>
      </c>
      <c r="E172" s="318"/>
      <c r="F172" s="318" t="s">
        <v>1080</v>
      </c>
      <c r="G172" s="318" t="s">
        <v>1100</v>
      </c>
      <c r="H172" s="318" t="s">
        <v>1101</v>
      </c>
      <c r="I172" s="319" t="s">
        <v>737</v>
      </c>
      <c r="J172" s="320"/>
      <c r="K172" s="321"/>
      <c r="L172" s="320"/>
      <c r="M172" s="321"/>
      <c r="N172" s="320"/>
    </row>
    <row r="173" spans="1:14" ht="21" customHeight="1">
      <c r="A173" s="489"/>
      <c r="B173" s="292" t="s">
        <v>1099</v>
      </c>
      <c r="C173" s="318" t="s">
        <v>738</v>
      </c>
      <c r="D173" s="317">
        <v>255</v>
      </c>
      <c r="E173" s="317"/>
      <c r="F173" s="318"/>
      <c r="G173" s="318"/>
      <c r="H173" s="318"/>
      <c r="I173" s="322" t="s">
        <v>739</v>
      </c>
      <c r="J173" s="323" t="s">
        <v>815</v>
      </c>
      <c r="K173" s="323" t="s">
        <v>815</v>
      </c>
      <c r="L173" s="323" t="s">
        <v>815</v>
      </c>
      <c r="M173" s="323" t="s">
        <v>815</v>
      </c>
      <c r="N173" s="324"/>
    </row>
    <row r="174" spans="1:14" ht="21" customHeight="1">
      <c r="A174" s="489"/>
      <c r="B174" s="292" t="s">
        <v>747</v>
      </c>
      <c r="C174" s="318" t="s">
        <v>740</v>
      </c>
      <c r="D174" s="318">
        <v>257</v>
      </c>
      <c r="E174" s="318"/>
      <c r="F174" s="318"/>
      <c r="G174" s="318"/>
      <c r="H174" s="318"/>
      <c r="I174" s="322" t="s">
        <v>741</v>
      </c>
      <c r="J174" s="325" t="s">
        <v>1055</v>
      </c>
      <c r="K174" s="325" t="s">
        <v>1056</v>
      </c>
      <c r="L174" s="325" t="s">
        <v>1056</v>
      </c>
      <c r="M174" s="326" t="s">
        <v>1058</v>
      </c>
      <c r="N174" s="323"/>
    </row>
    <row r="175" spans="1:14" ht="21" customHeight="1">
      <c r="A175" s="490"/>
      <c r="B175" s="293"/>
      <c r="C175" s="327" t="s">
        <v>742</v>
      </c>
      <c r="D175" s="328">
        <f>SUM(D172:D174)</f>
        <v>779</v>
      </c>
      <c r="E175" s="329"/>
      <c r="F175" s="329"/>
      <c r="G175" s="329"/>
      <c r="H175" s="329"/>
      <c r="I175" s="322" t="s">
        <v>743</v>
      </c>
      <c r="J175" s="325" t="s">
        <v>1059</v>
      </c>
      <c r="K175" s="326" t="s">
        <v>1057</v>
      </c>
      <c r="L175" s="326" t="s">
        <v>1057</v>
      </c>
      <c r="M175" s="326" t="s">
        <v>1057</v>
      </c>
      <c r="N175" s="323"/>
    </row>
    <row r="176" spans="1:14" ht="21" customHeight="1">
      <c r="A176" s="323" t="s">
        <v>744</v>
      </c>
      <c r="B176" s="330"/>
      <c r="C176" s="331"/>
      <c r="D176" s="332"/>
      <c r="E176" s="332" t="s">
        <v>1069</v>
      </c>
      <c r="F176" s="332"/>
      <c r="G176" s="332"/>
      <c r="H176" s="332"/>
      <c r="I176" s="322" t="s">
        <v>745</v>
      </c>
      <c r="J176" s="294" t="s">
        <v>749</v>
      </c>
      <c r="K176" s="294" t="s">
        <v>749</v>
      </c>
      <c r="L176" s="294" t="s">
        <v>749</v>
      </c>
      <c r="M176" s="294"/>
      <c r="N176" s="323"/>
    </row>
    <row r="177" spans="1:14" ht="21" customHeight="1">
      <c r="A177" s="491" t="s">
        <v>746</v>
      </c>
      <c r="B177" s="333" t="s">
        <v>1211</v>
      </c>
      <c r="C177" s="334"/>
      <c r="D177" s="334"/>
      <c r="E177" s="334"/>
      <c r="F177" s="334"/>
      <c r="G177" s="334"/>
      <c r="H177" s="334"/>
      <c r="I177" s="334"/>
      <c r="J177" s="335"/>
      <c r="K177" s="336"/>
      <c r="L177" s="336"/>
      <c r="M177" s="336"/>
      <c r="N177" s="309"/>
    </row>
    <row r="178" spans="1:14" ht="21" customHeight="1">
      <c r="A178" s="492"/>
      <c r="B178" s="307" t="s">
        <v>1212</v>
      </c>
      <c r="C178" s="334"/>
      <c r="D178" s="334"/>
      <c r="E178" s="334"/>
      <c r="F178" s="334"/>
      <c r="G178" s="334"/>
      <c r="H178" s="334"/>
      <c r="I178" s="334"/>
      <c r="J178" s="334"/>
      <c r="K178" s="334"/>
      <c r="L178" s="334"/>
      <c r="M178" s="334"/>
      <c r="N178" s="337"/>
    </row>
    <row r="179" spans="1:14" ht="21" customHeight="1">
      <c r="A179" s="492"/>
      <c r="B179" s="307"/>
      <c r="C179" s="308"/>
      <c r="D179" s="308"/>
      <c r="E179" s="308"/>
      <c r="F179" s="308"/>
      <c r="G179" s="308"/>
      <c r="H179" s="308"/>
      <c r="I179" s="308"/>
      <c r="J179" s="308"/>
      <c r="K179" s="308"/>
      <c r="L179" s="308"/>
      <c r="M179" s="308"/>
      <c r="N179" s="309"/>
    </row>
    <row r="180" spans="1:14" ht="21" customHeight="1">
      <c r="A180" s="492"/>
      <c r="B180" s="307"/>
      <c r="C180" s="308"/>
      <c r="D180" s="308"/>
      <c r="E180" s="308"/>
      <c r="F180" s="308"/>
      <c r="G180" s="308"/>
      <c r="H180" s="308"/>
      <c r="I180" s="308"/>
      <c r="J180" s="308"/>
      <c r="K180" s="308"/>
      <c r="L180" s="308"/>
      <c r="M180" s="308"/>
      <c r="N180" s="309"/>
    </row>
    <row r="181" spans="1:14" ht="21" customHeight="1">
      <c r="A181" s="493"/>
      <c r="B181" s="338"/>
      <c r="C181" s="334"/>
      <c r="D181" s="334"/>
      <c r="E181" s="334"/>
      <c r="F181" s="334"/>
      <c r="G181" s="334"/>
      <c r="H181" s="334"/>
      <c r="I181" s="334"/>
      <c r="J181" s="334"/>
      <c r="K181" s="334"/>
      <c r="L181" s="334"/>
      <c r="M181" s="334"/>
      <c r="N181" s="339"/>
    </row>
    <row r="184" spans="1:14" ht="21" customHeight="1">
      <c r="A184" s="310" t="s">
        <v>727</v>
      </c>
      <c r="B184" s="310" t="s">
        <v>728</v>
      </c>
      <c r="C184" s="310" t="s">
        <v>729</v>
      </c>
      <c r="D184" s="311" t="s">
        <v>730</v>
      </c>
      <c r="E184" s="312" t="s">
        <v>731</v>
      </c>
      <c r="F184" s="313" t="s">
        <v>732</v>
      </c>
      <c r="G184" s="313" t="s">
        <v>733</v>
      </c>
      <c r="H184" s="313" t="s">
        <v>734</v>
      </c>
      <c r="I184" s="314" t="s">
        <v>459</v>
      </c>
      <c r="J184" s="315" t="s">
        <v>16</v>
      </c>
      <c r="K184" s="315" t="s">
        <v>463</v>
      </c>
      <c r="L184" s="315" t="s">
        <v>460</v>
      </c>
      <c r="M184" s="315" t="s">
        <v>18</v>
      </c>
      <c r="N184" s="315" t="s">
        <v>735</v>
      </c>
    </row>
    <row r="185" spans="1:14" ht="21" customHeight="1">
      <c r="A185" s="488" t="s">
        <v>1095</v>
      </c>
      <c r="B185" s="343"/>
      <c r="C185" s="316" t="s">
        <v>736</v>
      </c>
      <c r="D185" s="317">
        <v>180</v>
      </c>
      <c r="E185" s="318"/>
      <c r="F185" s="318" t="s">
        <v>1103</v>
      </c>
      <c r="G185" s="318" t="s">
        <v>1104</v>
      </c>
      <c r="H185" s="318" t="s">
        <v>1075</v>
      </c>
      <c r="I185" s="319" t="s">
        <v>737</v>
      </c>
      <c r="J185" s="320" t="s">
        <v>1220</v>
      </c>
      <c r="K185" s="321" t="s">
        <v>1221</v>
      </c>
      <c r="L185" s="320"/>
      <c r="M185" s="321"/>
      <c r="N185" s="320"/>
    </row>
    <row r="186" spans="1:14" ht="21" customHeight="1">
      <c r="A186" s="489"/>
      <c r="B186" s="292" t="s">
        <v>1102</v>
      </c>
      <c r="C186" s="318" t="s">
        <v>738</v>
      </c>
      <c r="D186" s="317">
        <v>150</v>
      </c>
      <c r="E186" s="317"/>
      <c r="F186" s="318"/>
      <c r="G186" s="318"/>
      <c r="H186" s="318"/>
      <c r="I186" s="322" t="s">
        <v>739</v>
      </c>
      <c r="J186" s="323" t="s">
        <v>815</v>
      </c>
      <c r="K186" s="323" t="s">
        <v>815</v>
      </c>
      <c r="L186" s="323" t="s">
        <v>815</v>
      </c>
      <c r="M186" s="323" t="s">
        <v>815</v>
      </c>
      <c r="N186" s="324"/>
    </row>
    <row r="187" spans="1:14" ht="21" customHeight="1">
      <c r="A187" s="489"/>
      <c r="B187" s="292" t="s">
        <v>747</v>
      </c>
      <c r="C187" s="318" t="s">
        <v>740</v>
      </c>
      <c r="D187" s="318">
        <v>180</v>
      </c>
      <c r="E187" s="318"/>
      <c r="F187" s="318"/>
      <c r="G187" s="318"/>
      <c r="H187" s="318"/>
      <c r="I187" s="322" t="s">
        <v>741</v>
      </c>
      <c r="J187" s="325" t="s">
        <v>1055</v>
      </c>
      <c r="K187" s="325" t="s">
        <v>1056</v>
      </c>
      <c r="L187" s="325" t="s">
        <v>1056</v>
      </c>
      <c r="M187" s="326" t="s">
        <v>1058</v>
      </c>
      <c r="N187" s="323"/>
    </row>
    <row r="188" spans="1:14" ht="21" customHeight="1">
      <c r="A188" s="490"/>
      <c r="B188" s="293"/>
      <c r="C188" s="327" t="s">
        <v>742</v>
      </c>
      <c r="D188" s="328">
        <f>SUM(D185:D187)</f>
        <v>510</v>
      </c>
      <c r="E188" s="329"/>
      <c r="F188" s="329"/>
      <c r="G188" s="329"/>
      <c r="H188" s="329"/>
      <c r="I188" s="322" t="s">
        <v>743</v>
      </c>
      <c r="J188" s="325" t="s">
        <v>1059</v>
      </c>
      <c r="K188" s="326" t="s">
        <v>1057</v>
      </c>
      <c r="L188" s="326" t="s">
        <v>1057</v>
      </c>
      <c r="M188" s="326" t="s">
        <v>1057</v>
      </c>
      <c r="N188" s="323"/>
    </row>
    <row r="189" spans="1:14" ht="21" customHeight="1">
      <c r="A189" s="323" t="s">
        <v>744</v>
      </c>
      <c r="B189" s="330"/>
      <c r="C189" s="331"/>
      <c r="D189" s="332"/>
      <c r="E189" s="332" t="s">
        <v>1069</v>
      </c>
      <c r="F189" s="332"/>
      <c r="G189" s="332"/>
      <c r="H189" s="332"/>
      <c r="I189" s="322" t="s">
        <v>745</v>
      </c>
      <c r="J189" s="294" t="s">
        <v>749</v>
      </c>
      <c r="K189" s="294" t="s">
        <v>749</v>
      </c>
      <c r="L189" s="294" t="s">
        <v>749</v>
      </c>
      <c r="M189" s="294"/>
      <c r="N189" s="323"/>
    </row>
    <row r="190" spans="1:14" ht="21" customHeight="1">
      <c r="A190" s="491" t="s">
        <v>746</v>
      </c>
      <c r="B190" s="333" t="s">
        <v>1222</v>
      </c>
      <c r="C190" s="334"/>
      <c r="D190" s="334"/>
      <c r="E190" s="334"/>
      <c r="F190" s="334"/>
      <c r="G190" s="334"/>
      <c r="H190" s="334"/>
      <c r="I190" s="334"/>
      <c r="J190" s="335"/>
      <c r="K190" s="336"/>
      <c r="L190" s="336"/>
      <c r="M190" s="336"/>
      <c r="N190" s="309"/>
    </row>
    <row r="191" spans="1:14" ht="21" customHeight="1">
      <c r="A191" s="492"/>
      <c r="B191" s="307" t="s">
        <v>1223</v>
      </c>
      <c r="C191" s="334"/>
      <c r="D191" s="334"/>
      <c r="E191" s="334"/>
      <c r="F191" s="334"/>
      <c r="G191" s="334"/>
      <c r="H191" s="334"/>
      <c r="I191" s="334"/>
      <c r="J191" s="334"/>
      <c r="K191" s="334"/>
      <c r="L191" s="334"/>
      <c r="M191" s="334"/>
      <c r="N191" s="337"/>
    </row>
    <row r="192" spans="1:14" ht="21" customHeight="1">
      <c r="A192" s="492"/>
      <c r="B192" s="307"/>
      <c r="C192" s="308"/>
      <c r="D192" s="308"/>
      <c r="E192" s="308"/>
      <c r="F192" s="308"/>
      <c r="G192" s="308"/>
      <c r="H192" s="308"/>
      <c r="I192" s="308"/>
      <c r="J192" s="308"/>
      <c r="K192" s="308"/>
      <c r="L192" s="308"/>
      <c r="M192" s="308"/>
      <c r="N192" s="309"/>
    </row>
    <row r="193" spans="1:14" ht="21" customHeight="1">
      <c r="A193" s="492"/>
      <c r="B193" s="307"/>
      <c r="C193" s="308"/>
      <c r="D193" s="308"/>
      <c r="E193" s="308"/>
      <c r="F193" s="308"/>
      <c r="G193" s="308"/>
      <c r="H193" s="308"/>
      <c r="I193" s="308"/>
      <c r="J193" s="308"/>
      <c r="K193" s="308"/>
      <c r="L193" s="308"/>
      <c r="M193" s="308"/>
      <c r="N193" s="309"/>
    </row>
    <row r="194" spans="1:14" ht="21" customHeight="1">
      <c r="A194" s="493"/>
      <c r="B194" s="338"/>
      <c r="C194" s="334"/>
      <c r="D194" s="334"/>
      <c r="E194" s="334"/>
      <c r="F194" s="334"/>
      <c r="G194" s="334"/>
      <c r="H194" s="334"/>
      <c r="I194" s="334"/>
      <c r="J194" s="334"/>
      <c r="K194" s="334"/>
      <c r="L194" s="334"/>
      <c r="M194" s="334"/>
      <c r="N194" s="339"/>
    </row>
    <row r="195" spans="1:14" ht="21" customHeight="1">
      <c r="A195" s="299"/>
      <c r="B195" s="300"/>
      <c r="C195" s="300"/>
      <c r="D195" s="300"/>
      <c r="E195" s="300"/>
      <c r="F195" s="300"/>
      <c r="G195" s="300"/>
      <c r="H195" s="300"/>
      <c r="I195" s="300"/>
      <c r="J195" s="300"/>
      <c r="K195" s="300"/>
      <c r="L195" s="300"/>
      <c r="M195" s="300"/>
      <c r="N195" s="300"/>
    </row>
    <row r="196" spans="1:14" ht="21" customHeight="1">
      <c r="A196" s="299"/>
      <c r="B196" s="300"/>
      <c r="C196" s="300"/>
      <c r="D196" s="300"/>
      <c r="E196" s="300"/>
      <c r="F196" s="300"/>
      <c r="G196" s="300"/>
      <c r="H196" s="300"/>
      <c r="I196" s="300"/>
      <c r="J196" s="300"/>
      <c r="K196" s="300"/>
      <c r="L196" s="300"/>
      <c r="M196" s="300"/>
      <c r="N196" s="300"/>
    </row>
    <row r="197" spans="1:14" ht="21" customHeight="1">
      <c r="A197" s="310" t="s">
        <v>727</v>
      </c>
      <c r="B197" s="310" t="s">
        <v>728</v>
      </c>
      <c r="C197" s="310" t="s">
        <v>729</v>
      </c>
      <c r="D197" s="311" t="s">
        <v>730</v>
      </c>
      <c r="E197" s="312" t="s">
        <v>731</v>
      </c>
      <c r="F197" s="313" t="s">
        <v>732</v>
      </c>
      <c r="G197" s="313" t="s">
        <v>733</v>
      </c>
      <c r="H197" s="313" t="s">
        <v>734</v>
      </c>
      <c r="I197" s="314" t="s">
        <v>459</v>
      </c>
      <c r="J197" s="315" t="s">
        <v>16</v>
      </c>
      <c r="K197" s="315" t="s">
        <v>463</v>
      </c>
      <c r="L197" s="315" t="s">
        <v>460</v>
      </c>
      <c r="M197" s="315" t="s">
        <v>18</v>
      </c>
      <c r="N197" s="315" t="s">
        <v>735</v>
      </c>
    </row>
    <row r="198" spans="1:14" ht="21" customHeight="1">
      <c r="A198" s="488" t="s">
        <v>1065</v>
      </c>
      <c r="B198" s="343"/>
      <c r="C198" s="316" t="s">
        <v>736</v>
      </c>
      <c r="D198" s="317">
        <v>280</v>
      </c>
      <c r="E198" s="318" t="s">
        <v>1084</v>
      </c>
      <c r="F198" s="318" t="s">
        <v>1067</v>
      </c>
      <c r="G198" s="318"/>
      <c r="H198" s="318" t="s">
        <v>1070</v>
      </c>
      <c r="I198" s="319" t="s">
        <v>737</v>
      </c>
      <c r="J198" s="320" t="s">
        <v>1224</v>
      </c>
      <c r="K198" s="321" t="s">
        <v>1225</v>
      </c>
      <c r="L198" s="320" t="s">
        <v>1226</v>
      </c>
      <c r="M198" s="321" t="s">
        <v>1227</v>
      </c>
      <c r="N198" s="320"/>
    </row>
    <row r="199" spans="1:14" ht="21" customHeight="1">
      <c r="A199" s="489"/>
      <c r="B199" s="292" t="s">
        <v>1105</v>
      </c>
      <c r="C199" s="318" t="s">
        <v>738</v>
      </c>
      <c r="D199" s="317">
        <v>285</v>
      </c>
      <c r="E199" s="317"/>
      <c r="F199" s="318"/>
      <c r="G199" s="318"/>
      <c r="H199" s="318"/>
      <c r="I199" s="322" t="s">
        <v>739</v>
      </c>
      <c r="J199" s="323" t="s">
        <v>815</v>
      </c>
      <c r="K199" s="323" t="s">
        <v>815</v>
      </c>
      <c r="L199" s="323" t="s">
        <v>815</v>
      </c>
      <c r="M199" s="323" t="s">
        <v>815</v>
      </c>
      <c r="N199" s="324"/>
    </row>
    <row r="200" spans="1:14" ht="21" customHeight="1">
      <c r="A200" s="489"/>
      <c r="B200" s="292" t="s">
        <v>747</v>
      </c>
      <c r="C200" s="318" t="s">
        <v>740</v>
      </c>
      <c r="D200" s="318">
        <v>270</v>
      </c>
      <c r="E200" s="318"/>
      <c r="F200" s="318"/>
      <c r="G200" s="318"/>
      <c r="H200" s="318"/>
      <c r="I200" s="322" t="s">
        <v>741</v>
      </c>
      <c r="J200" s="325" t="s">
        <v>1055</v>
      </c>
      <c r="K200" s="325" t="s">
        <v>1056</v>
      </c>
      <c r="L200" s="325" t="s">
        <v>1056</v>
      </c>
      <c r="M200" s="326" t="s">
        <v>1058</v>
      </c>
      <c r="N200" s="323"/>
    </row>
    <row r="201" spans="1:14" ht="21" customHeight="1">
      <c r="A201" s="490"/>
      <c r="B201" s="293"/>
      <c r="C201" s="327" t="s">
        <v>742</v>
      </c>
      <c r="D201" s="328">
        <f>SUM(D198:D200)</f>
        <v>835</v>
      </c>
      <c r="E201" s="329"/>
      <c r="F201" s="329"/>
      <c r="G201" s="329"/>
      <c r="H201" s="329"/>
      <c r="I201" s="322" t="s">
        <v>743</v>
      </c>
      <c r="J201" s="325" t="s">
        <v>1059</v>
      </c>
      <c r="K201" s="326" t="s">
        <v>1057</v>
      </c>
      <c r="L201" s="326" t="s">
        <v>1057</v>
      </c>
      <c r="M201" s="326" t="s">
        <v>1057</v>
      </c>
      <c r="N201" s="323"/>
    </row>
    <row r="202" spans="1:14" ht="21" customHeight="1">
      <c r="A202" s="323" t="s">
        <v>744</v>
      </c>
      <c r="B202" s="330"/>
      <c r="C202" s="331"/>
      <c r="D202" s="332"/>
      <c r="E202" s="332"/>
      <c r="F202" s="332"/>
      <c r="G202" s="332" t="s">
        <v>1069</v>
      </c>
      <c r="H202" s="332"/>
      <c r="I202" s="322" t="s">
        <v>745</v>
      </c>
      <c r="J202" s="294" t="s">
        <v>749</v>
      </c>
      <c r="K202" s="294" t="s">
        <v>749</v>
      </c>
      <c r="L202" s="294" t="s">
        <v>749</v>
      </c>
      <c r="M202" s="294"/>
      <c r="N202" s="323"/>
    </row>
    <row r="203" spans="1:14" ht="21" customHeight="1">
      <c r="A203" s="491" t="s">
        <v>746</v>
      </c>
      <c r="B203" s="333" t="s">
        <v>1228</v>
      </c>
      <c r="C203" s="334"/>
      <c r="D203" s="334"/>
      <c r="E203" s="334"/>
      <c r="F203" s="334"/>
      <c r="G203" s="334"/>
      <c r="H203" s="334"/>
      <c r="I203" s="334"/>
      <c r="J203" s="335"/>
      <c r="K203" s="336"/>
      <c r="L203" s="336"/>
      <c r="M203" s="336"/>
      <c r="N203" s="309"/>
    </row>
    <row r="204" spans="1:14" ht="21" customHeight="1">
      <c r="A204" s="492"/>
      <c r="B204" s="307" t="s">
        <v>1229</v>
      </c>
      <c r="C204" s="334"/>
      <c r="D204" s="334"/>
      <c r="E204" s="334"/>
      <c r="F204" s="334"/>
      <c r="G204" s="334"/>
      <c r="H204" s="334"/>
      <c r="I204" s="334"/>
      <c r="J204" s="334"/>
      <c r="K204" s="334"/>
      <c r="L204" s="334"/>
      <c r="M204" s="334"/>
      <c r="N204" s="337"/>
    </row>
    <row r="205" spans="1:14" ht="21" customHeight="1">
      <c r="A205" s="492"/>
      <c r="B205" s="307" t="s">
        <v>1230</v>
      </c>
      <c r="C205" s="308"/>
      <c r="D205" s="308"/>
      <c r="E205" s="308"/>
      <c r="F205" s="308"/>
      <c r="G205" s="308"/>
      <c r="H205" s="308"/>
      <c r="I205" s="308"/>
      <c r="J205" s="308"/>
      <c r="K205" s="308"/>
      <c r="L205" s="308"/>
      <c r="M205" s="308"/>
      <c r="N205" s="309"/>
    </row>
    <row r="206" spans="1:14" ht="21" customHeight="1">
      <c r="A206" s="492"/>
      <c r="B206" s="307" t="s">
        <v>1231</v>
      </c>
      <c r="C206" s="308"/>
      <c r="D206" s="308"/>
      <c r="E206" s="308"/>
      <c r="F206" s="308"/>
      <c r="G206" s="308"/>
      <c r="H206" s="308"/>
      <c r="I206" s="308"/>
      <c r="J206" s="308"/>
      <c r="K206" s="308"/>
      <c r="L206" s="308"/>
      <c r="M206" s="308"/>
      <c r="N206" s="309"/>
    </row>
    <row r="207" spans="1:14" ht="21" customHeight="1">
      <c r="A207" s="493"/>
      <c r="B207" s="338" t="s">
        <v>1232</v>
      </c>
      <c r="C207" s="334"/>
      <c r="D207" s="334"/>
      <c r="E207" s="334"/>
      <c r="F207" s="334"/>
      <c r="G207" s="334"/>
      <c r="H207" s="334"/>
      <c r="I207" s="334"/>
      <c r="J207" s="334"/>
      <c r="K207" s="334"/>
      <c r="L207" s="334"/>
      <c r="M207" s="334"/>
      <c r="N207" s="339"/>
    </row>
    <row r="208" spans="1:14" ht="21" customHeight="1">
      <c r="A208" s="299"/>
      <c r="B208" s="300"/>
      <c r="C208" s="300"/>
      <c r="D208" s="300"/>
      <c r="E208" s="300"/>
      <c r="F208" s="300"/>
      <c r="G208" s="300"/>
      <c r="H208" s="300"/>
      <c r="I208" s="300"/>
      <c r="J208" s="300"/>
      <c r="K208" s="300"/>
      <c r="L208" s="300"/>
      <c r="M208" s="300"/>
      <c r="N208" s="300"/>
    </row>
    <row r="209" spans="1:14" ht="21" customHeight="1">
      <c r="A209" s="299"/>
      <c r="B209" s="300"/>
      <c r="C209" s="300"/>
      <c r="D209" s="300"/>
      <c r="E209" s="300"/>
      <c r="F209" s="300"/>
      <c r="G209" s="300"/>
      <c r="H209" s="300"/>
      <c r="I209" s="300"/>
      <c r="J209" s="300"/>
      <c r="K209" s="300"/>
      <c r="L209" s="300"/>
      <c r="M209" s="300"/>
      <c r="N209" s="300"/>
    </row>
    <row r="210" spans="1:14" ht="21" customHeight="1">
      <c r="A210" s="310" t="s">
        <v>727</v>
      </c>
      <c r="B210" s="310" t="s">
        <v>728</v>
      </c>
      <c r="C210" s="310" t="s">
        <v>729</v>
      </c>
      <c r="D210" s="311" t="s">
        <v>730</v>
      </c>
      <c r="E210" s="312" t="s">
        <v>731</v>
      </c>
      <c r="F210" s="313" t="s">
        <v>732</v>
      </c>
      <c r="G210" s="313" t="s">
        <v>733</v>
      </c>
      <c r="H210" s="313" t="s">
        <v>734</v>
      </c>
      <c r="I210" s="314" t="s">
        <v>459</v>
      </c>
      <c r="J210" s="315" t="s">
        <v>16</v>
      </c>
      <c r="K210" s="315" t="s">
        <v>463</v>
      </c>
      <c r="L210" s="315" t="s">
        <v>460</v>
      </c>
      <c r="M210" s="315" t="s">
        <v>18</v>
      </c>
      <c r="N210" s="315" t="s">
        <v>735</v>
      </c>
    </row>
    <row r="211" spans="1:14" ht="21" customHeight="1">
      <c r="A211" s="488" t="s">
        <v>1065</v>
      </c>
      <c r="B211" s="343"/>
      <c r="C211" s="316" t="s">
        <v>736</v>
      </c>
      <c r="D211" s="317">
        <v>241</v>
      </c>
      <c r="E211" s="318" t="s">
        <v>1089</v>
      </c>
      <c r="F211" s="318"/>
      <c r="G211" s="318" t="s">
        <v>1100</v>
      </c>
      <c r="H211" s="318" t="s">
        <v>1092</v>
      </c>
      <c r="I211" s="319" t="s">
        <v>737</v>
      </c>
      <c r="J211" s="320" t="s">
        <v>1233</v>
      </c>
      <c r="K211" s="321" t="s">
        <v>1234</v>
      </c>
      <c r="L211" s="320" t="s">
        <v>1235</v>
      </c>
      <c r="M211" s="321" t="s">
        <v>1236</v>
      </c>
      <c r="N211" s="320"/>
    </row>
    <row r="212" spans="1:14" ht="21" customHeight="1">
      <c r="A212" s="489"/>
      <c r="B212" s="292" t="s">
        <v>1106</v>
      </c>
      <c r="C212" s="318" t="s">
        <v>738</v>
      </c>
      <c r="D212" s="317">
        <v>242</v>
      </c>
      <c r="E212" s="317"/>
      <c r="F212" s="318"/>
      <c r="G212" s="318"/>
      <c r="H212" s="318"/>
      <c r="I212" s="322" t="s">
        <v>739</v>
      </c>
      <c r="J212" s="323" t="s">
        <v>815</v>
      </c>
      <c r="K212" s="323" t="s">
        <v>815</v>
      </c>
      <c r="L212" s="323" t="s">
        <v>815</v>
      </c>
      <c r="M212" s="323" t="s">
        <v>815</v>
      </c>
      <c r="N212" s="324"/>
    </row>
    <row r="213" spans="1:14" ht="21" customHeight="1">
      <c r="A213" s="489"/>
      <c r="B213" s="292" t="s">
        <v>747</v>
      </c>
      <c r="C213" s="318" t="s">
        <v>740</v>
      </c>
      <c r="D213" s="318">
        <v>250</v>
      </c>
      <c r="E213" s="318"/>
      <c r="F213" s="318" t="s">
        <v>1080</v>
      </c>
      <c r="G213" s="318"/>
      <c r="H213" s="318"/>
      <c r="I213" s="322" t="s">
        <v>741</v>
      </c>
      <c r="J213" s="325" t="s">
        <v>1055</v>
      </c>
      <c r="K213" s="325" t="s">
        <v>1056</v>
      </c>
      <c r="L213" s="325" t="s">
        <v>1056</v>
      </c>
      <c r="M213" s="326" t="s">
        <v>1058</v>
      </c>
      <c r="N213" s="323"/>
    </row>
    <row r="214" spans="1:14" ht="21" customHeight="1">
      <c r="A214" s="490"/>
      <c r="B214" s="293"/>
      <c r="C214" s="327" t="s">
        <v>742</v>
      </c>
      <c r="D214" s="328">
        <f>SUM(D211:D213)</f>
        <v>733</v>
      </c>
      <c r="E214" s="329"/>
      <c r="F214" s="329"/>
      <c r="G214" s="329"/>
      <c r="H214" s="329"/>
      <c r="I214" s="322" t="s">
        <v>743</v>
      </c>
      <c r="J214" s="325" t="s">
        <v>1059</v>
      </c>
      <c r="K214" s="326" t="s">
        <v>1057</v>
      </c>
      <c r="L214" s="326" t="s">
        <v>1057</v>
      </c>
      <c r="M214" s="326" t="s">
        <v>1057</v>
      </c>
      <c r="N214" s="323"/>
    </row>
    <row r="215" spans="1:14" ht="21" customHeight="1">
      <c r="A215" s="323" t="s">
        <v>744</v>
      </c>
      <c r="B215" s="330"/>
      <c r="C215" s="331"/>
      <c r="D215" s="332"/>
      <c r="E215" s="332"/>
      <c r="F215" s="332" t="s">
        <v>1107</v>
      </c>
      <c r="G215" s="332"/>
      <c r="H215" s="332"/>
      <c r="I215" s="322" t="s">
        <v>745</v>
      </c>
      <c r="J215" s="294" t="s">
        <v>749</v>
      </c>
      <c r="K215" s="294" t="s">
        <v>749</v>
      </c>
      <c r="L215" s="294" t="s">
        <v>749</v>
      </c>
      <c r="M215" s="294"/>
      <c r="N215" s="323"/>
    </row>
    <row r="216" spans="1:14" ht="21" customHeight="1">
      <c r="A216" s="491" t="s">
        <v>746</v>
      </c>
      <c r="B216" s="333" t="s">
        <v>1237</v>
      </c>
      <c r="C216" s="334"/>
      <c r="D216" s="334"/>
      <c r="E216" s="334"/>
      <c r="F216" s="334"/>
      <c r="G216" s="334"/>
      <c r="H216" s="334"/>
      <c r="I216" s="334"/>
      <c r="J216" s="335"/>
      <c r="K216" s="336"/>
      <c r="L216" s="336"/>
      <c r="M216" s="336"/>
      <c r="N216" s="309"/>
    </row>
    <row r="217" spans="1:14" ht="21" customHeight="1">
      <c r="A217" s="492"/>
      <c r="B217" s="307" t="s">
        <v>1238</v>
      </c>
      <c r="C217" s="334"/>
      <c r="D217" s="334"/>
      <c r="E217" s="334"/>
      <c r="F217" s="334"/>
      <c r="G217" s="334"/>
      <c r="H217" s="334"/>
      <c r="I217" s="334"/>
      <c r="J217" s="334"/>
      <c r="K217" s="334"/>
      <c r="L217" s="334"/>
      <c r="M217" s="334"/>
      <c r="N217" s="337"/>
    </row>
    <row r="218" spans="1:14" ht="21" customHeight="1">
      <c r="A218" s="492"/>
      <c r="B218" s="307" t="s">
        <v>1239</v>
      </c>
      <c r="C218" s="308"/>
      <c r="D218" s="308"/>
      <c r="E218" s="308"/>
      <c r="F218" s="308"/>
      <c r="G218" s="308"/>
      <c r="H218" s="308"/>
      <c r="I218" s="308"/>
      <c r="J218" s="308"/>
      <c r="K218" s="308"/>
      <c r="L218" s="308"/>
      <c r="M218" s="308"/>
      <c r="N218" s="309"/>
    </row>
    <row r="219" spans="1:14" ht="21" customHeight="1">
      <c r="A219" s="492"/>
      <c r="B219" s="307" t="s">
        <v>1240</v>
      </c>
      <c r="C219" s="308"/>
      <c r="D219" s="308"/>
      <c r="E219" s="308"/>
      <c r="F219" s="308"/>
      <c r="G219" s="308"/>
      <c r="H219" s="308"/>
      <c r="I219" s="308"/>
      <c r="J219" s="308"/>
      <c r="K219" s="308"/>
      <c r="L219" s="308"/>
      <c r="M219" s="308"/>
      <c r="N219" s="309"/>
    </row>
    <row r="220" spans="1:14" ht="21" customHeight="1">
      <c r="A220" s="493"/>
      <c r="B220" s="307" t="s">
        <v>1241</v>
      </c>
      <c r="C220" s="308"/>
      <c r="D220" s="308"/>
      <c r="E220" s="308"/>
      <c r="F220" s="308"/>
      <c r="G220" s="308"/>
      <c r="H220" s="308"/>
      <c r="I220" s="308"/>
      <c r="J220" s="308"/>
      <c r="K220" s="308"/>
      <c r="L220" s="308"/>
      <c r="M220" s="308"/>
      <c r="N220" s="309"/>
    </row>
    <row r="221" spans="1:14" ht="21" customHeight="1">
      <c r="A221" s="299"/>
      <c r="B221" s="300"/>
      <c r="C221" s="300"/>
      <c r="D221" s="300"/>
      <c r="E221" s="300"/>
      <c r="F221" s="300"/>
      <c r="G221" s="300"/>
      <c r="H221" s="300"/>
      <c r="I221" s="300"/>
      <c r="J221" s="300"/>
      <c r="K221" s="300"/>
      <c r="L221" s="300"/>
      <c r="M221" s="300"/>
      <c r="N221" s="300"/>
    </row>
    <row r="222" spans="1:14" ht="21" customHeight="1">
      <c r="A222" s="310" t="s">
        <v>727</v>
      </c>
      <c r="B222" s="310" t="s">
        <v>728</v>
      </c>
      <c r="C222" s="310" t="s">
        <v>729</v>
      </c>
      <c r="D222" s="311" t="s">
        <v>730</v>
      </c>
      <c r="E222" s="312" t="s">
        <v>731</v>
      </c>
      <c r="F222" s="313" t="s">
        <v>732</v>
      </c>
      <c r="G222" s="313" t="s">
        <v>733</v>
      </c>
      <c r="H222" s="313" t="s">
        <v>734</v>
      </c>
      <c r="I222" s="314" t="s">
        <v>459</v>
      </c>
      <c r="J222" s="315" t="s">
        <v>16</v>
      </c>
      <c r="K222" s="315" t="s">
        <v>463</v>
      </c>
      <c r="L222" s="315" t="s">
        <v>460</v>
      </c>
      <c r="M222" s="315" t="s">
        <v>18</v>
      </c>
      <c r="N222" s="315" t="s">
        <v>735</v>
      </c>
    </row>
    <row r="223" spans="1:14" ht="21" customHeight="1">
      <c r="A223" s="488" t="s">
        <v>1065</v>
      </c>
      <c r="B223" s="343"/>
      <c r="C223" s="316" t="s">
        <v>736</v>
      </c>
      <c r="D223" s="317">
        <v>310</v>
      </c>
      <c r="E223" s="318" t="s">
        <v>1084</v>
      </c>
      <c r="F223" s="318" t="s">
        <v>1080</v>
      </c>
      <c r="G223" s="318"/>
      <c r="H223" s="318" t="s">
        <v>1079</v>
      </c>
      <c r="I223" s="319" t="s">
        <v>737</v>
      </c>
      <c r="J223" s="320" t="s">
        <v>1242</v>
      </c>
      <c r="K223" s="321" t="s">
        <v>1243</v>
      </c>
      <c r="L223" s="320" t="s">
        <v>1244</v>
      </c>
      <c r="M223" s="321" t="s">
        <v>1245</v>
      </c>
      <c r="N223" s="320"/>
    </row>
    <row r="224" spans="1:14" ht="21" customHeight="1">
      <c r="A224" s="489"/>
      <c r="B224" s="292" t="s">
        <v>1108</v>
      </c>
      <c r="C224" s="318" t="s">
        <v>738</v>
      </c>
      <c r="D224" s="317">
        <v>372</v>
      </c>
      <c r="E224" s="317"/>
      <c r="F224" s="318"/>
      <c r="G224" s="318"/>
      <c r="H224" s="318"/>
      <c r="I224" s="322" t="s">
        <v>739</v>
      </c>
      <c r="J224" s="323" t="s">
        <v>815</v>
      </c>
      <c r="K224" s="323" t="s">
        <v>815</v>
      </c>
      <c r="L224" s="323" t="s">
        <v>815</v>
      </c>
      <c r="M224" s="323" t="s">
        <v>815</v>
      </c>
      <c r="N224" s="324"/>
    </row>
    <row r="225" spans="1:14" ht="21" customHeight="1">
      <c r="A225" s="489"/>
      <c r="B225" s="292" t="s">
        <v>747</v>
      </c>
      <c r="C225" s="318" t="s">
        <v>740</v>
      </c>
      <c r="D225" s="318">
        <v>324</v>
      </c>
      <c r="E225" s="318"/>
      <c r="F225" s="318"/>
      <c r="G225" s="318"/>
      <c r="H225" s="318"/>
      <c r="I225" s="322" t="s">
        <v>741</v>
      </c>
      <c r="J225" s="325" t="s">
        <v>1055</v>
      </c>
      <c r="K225" s="325" t="s">
        <v>1056</v>
      </c>
      <c r="L225" s="325" t="s">
        <v>1056</v>
      </c>
      <c r="M225" s="326" t="s">
        <v>1058</v>
      </c>
      <c r="N225" s="323"/>
    </row>
    <row r="226" spans="1:14" ht="21" customHeight="1">
      <c r="A226" s="490"/>
      <c r="B226" s="293"/>
      <c r="C226" s="327" t="s">
        <v>742</v>
      </c>
      <c r="D226" s="328">
        <f>SUM(D223:D225)</f>
        <v>1006</v>
      </c>
      <c r="E226" s="329"/>
      <c r="F226" s="329"/>
      <c r="G226" s="329"/>
      <c r="H226" s="329"/>
      <c r="I226" s="322" t="s">
        <v>743</v>
      </c>
      <c r="J226" s="325" t="s">
        <v>1059</v>
      </c>
      <c r="K226" s="326" t="s">
        <v>1057</v>
      </c>
      <c r="L226" s="326" t="s">
        <v>1057</v>
      </c>
      <c r="M226" s="326" t="s">
        <v>1057</v>
      </c>
      <c r="N226" s="323"/>
    </row>
    <row r="227" spans="1:14" ht="21" customHeight="1">
      <c r="A227" s="323" t="s">
        <v>744</v>
      </c>
      <c r="B227" s="330"/>
      <c r="C227" s="331"/>
      <c r="D227" s="332"/>
      <c r="E227" s="332"/>
      <c r="F227" s="332"/>
      <c r="G227" s="332" t="s">
        <v>1069</v>
      </c>
      <c r="H227" s="332"/>
      <c r="I227" s="322" t="s">
        <v>745</v>
      </c>
      <c r="J227" s="294" t="s">
        <v>749</v>
      </c>
      <c r="K227" s="294" t="s">
        <v>749</v>
      </c>
      <c r="L227" s="294" t="s">
        <v>749</v>
      </c>
      <c r="M227" s="294"/>
      <c r="N227" s="323"/>
    </row>
    <row r="228" spans="1:14" ht="21" customHeight="1">
      <c r="A228" s="491" t="s">
        <v>746</v>
      </c>
      <c r="B228" s="333" t="s">
        <v>1246</v>
      </c>
      <c r="C228" s="334"/>
      <c r="D228" s="334"/>
      <c r="E228" s="334"/>
      <c r="F228" s="334"/>
      <c r="G228" s="334"/>
      <c r="H228" s="334"/>
      <c r="I228" s="334"/>
      <c r="J228" s="335"/>
      <c r="K228" s="336"/>
      <c r="L228" s="336"/>
      <c r="M228" s="336"/>
      <c r="N228" s="309"/>
    </row>
    <row r="229" spans="1:14" ht="21" customHeight="1">
      <c r="A229" s="492"/>
      <c r="B229" s="307" t="s">
        <v>1248</v>
      </c>
      <c r="C229" s="334"/>
      <c r="D229" s="334"/>
      <c r="E229" s="334"/>
      <c r="F229" s="334"/>
      <c r="G229" s="334"/>
      <c r="H229" s="334"/>
      <c r="I229" s="334"/>
      <c r="J229" s="334"/>
      <c r="K229" s="334"/>
      <c r="L229" s="334"/>
      <c r="M229" s="334"/>
      <c r="N229" s="337"/>
    </row>
    <row r="230" spans="1:14" ht="21" customHeight="1">
      <c r="A230" s="492"/>
      <c r="B230" s="307" t="s">
        <v>1247</v>
      </c>
      <c r="C230" s="308"/>
      <c r="D230" s="308"/>
      <c r="E230" s="308"/>
      <c r="F230" s="308"/>
      <c r="G230" s="308"/>
      <c r="H230" s="308"/>
      <c r="I230" s="308"/>
      <c r="J230" s="308"/>
      <c r="K230" s="308"/>
      <c r="L230" s="308"/>
      <c r="M230" s="308"/>
      <c r="N230" s="309"/>
    </row>
    <row r="231" spans="1:14" ht="21" customHeight="1">
      <c r="A231" s="492"/>
      <c r="B231" s="307"/>
      <c r="C231" s="308"/>
      <c r="D231" s="308"/>
      <c r="E231" s="308"/>
      <c r="F231" s="308"/>
      <c r="G231" s="308"/>
      <c r="H231" s="308"/>
      <c r="I231" s="308"/>
      <c r="J231" s="308"/>
      <c r="K231" s="308"/>
      <c r="L231" s="308"/>
      <c r="M231" s="308"/>
      <c r="N231" s="309"/>
    </row>
    <row r="232" spans="1:14" ht="21" customHeight="1">
      <c r="A232" s="493"/>
      <c r="B232" s="338"/>
      <c r="C232" s="334"/>
      <c r="D232" s="334"/>
      <c r="E232" s="334"/>
      <c r="F232" s="334"/>
      <c r="G232" s="334"/>
      <c r="H232" s="334"/>
      <c r="I232" s="334"/>
      <c r="J232" s="334"/>
      <c r="K232" s="334"/>
      <c r="L232" s="334"/>
      <c r="M232" s="334"/>
      <c r="N232" s="339"/>
    </row>
    <row r="233" spans="1:14" ht="21" customHeight="1"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</row>
    <row r="234" spans="1:14" ht="21.75" customHeight="1">
      <c r="A234" s="291"/>
      <c r="B234" s="291"/>
      <c r="C234" s="291"/>
      <c r="D234" s="291"/>
      <c r="E234" s="19"/>
      <c r="F234" s="19"/>
      <c r="G234" s="19"/>
      <c r="H234" s="19"/>
      <c r="I234" s="19"/>
      <c r="J234" s="19"/>
      <c r="K234" s="19"/>
      <c r="L234" s="19"/>
      <c r="M234" s="19"/>
      <c r="N234" s="19"/>
    </row>
    <row r="235" spans="1:14" ht="21" customHeight="1">
      <c r="A235" s="310" t="s">
        <v>727</v>
      </c>
      <c r="B235" s="310" t="s">
        <v>728</v>
      </c>
      <c r="C235" s="310" t="s">
        <v>729</v>
      </c>
      <c r="D235" s="311" t="s">
        <v>730</v>
      </c>
      <c r="E235" s="312" t="s">
        <v>731</v>
      </c>
      <c r="F235" s="313" t="s">
        <v>732</v>
      </c>
      <c r="G235" s="313" t="s">
        <v>733</v>
      </c>
      <c r="H235" s="313" t="s">
        <v>734</v>
      </c>
      <c r="I235" s="314" t="s">
        <v>459</v>
      </c>
      <c r="J235" s="315" t="s">
        <v>16</v>
      </c>
      <c r="K235" s="315" t="s">
        <v>463</v>
      </c>
      <c r="L235" s="315" t="s">
        <v>460</v>
      </c>
      <c r="M235" s="315" t="s">
        <v>18</v>
      </c>
      <c r="N235" s="315" t="s">
        <v>735</v>
      </c>
    </row>
    <row r="236" spans="1:14" ht="21" customHeight="1">
      <c r="A236" s="488" t="s">
        <v>1065</v>
      </c>
      <c r="B236" s="343"/>
      <c r="C236" s="316" t="s">
        <v>736</v>
      </c>
      <c r="D236" s="317">
        <v>286</v>
      </c>
      <c r="E236" s="318"/>
      <c r="F236" s="318" t="s">
        <v>1067</v>
      </c>
      <c r="G236" s="318" t="s">
        <v>1110</v>
      </c>
      <c r="H236" s="318" t="s">
        <v>1077</v>
      </c>
      <c r="I236" s="319" t="s">
        <v>737</v>
      </c>
      <c r="J236" s="320" t="s">
        <v>1252</v>
      </c>
      <c r="K236" s="321" t="s">
        <v>1249</v>
      </c>
      <c r="L236" s="320" t="s">
        <v>1250</v>
      </c>
      <c r="M236" s="321" t="s">
        <v>1251</v>
      </c>
      <c r="N236" s="320"/>
    </row>
    <row r="237" spans="1:14" ht="21" customHeight="1">
      <c r="A237" s="489"/>
      <c r="B237" s="292" t="s">
        <v>1109</v>
      </c>
      <c r="C237" s="318" t="s">
        <v>738</v>
      </c>
      <c r="D237" s="317">
        <v>345</v>
      </c>
      <c r="E237" s="317"/>
      <c r="F237" s="318"/>
      <c r="G237" s="318"/>
      <c r="H237" s="318"/>
      <c r="I237" s="322" t="s">
        <v>739</v>
      </c>
      <c r="J237" s="323" t="s">
        <v>815</v>
      </c>
      <c r="K237" s="323" t="s">
        <v>815</v>
      </c>
      <c r="L237" s="323" t="s">
        <v>815</v>
      </c>
      <c r="M237" s="323" t="s">
        <v>815</v>
      </c>
      <c r="N237" s="324"/>
    </row>
    <row r="238" spans="1:14" ht="21" customHeight="1">
      <c r="A238" s="489"/>
      <c r="B238" s="292" t="s">
        <v>747</v>
      </c>
      <c r="C238" s="318" t="s">
        <v>740</v>
      </c>
      <c r="D238" s="318">
        <v>269</v>
      </c>
      <c r="E238" s="318"/>
      <c r="F238" s="318"/>
      <c r="G238" s="318"/>
      <c r="H238" s="318"/>
      <c r="I238" s="322" t="s">
        <v>741</v>
      </c>
      <c r="J238" s="325" t="s">
        <v>1055</v>
      </c>
      <c r="K238" s="325" t="s">
        <v>1056</v>
      </c>
      <c r="L238" s="325" t="s">
        <v>1056</v>
      </c>
      <c r="M238" s="326" t="s">
        <v>1058</v>
      </c>
      <c r="N238" s="323"/>
    </row>
    <row r="239" spans="1:14" ht="21" customHeight="1">
      <c r="A239" s="490"/>
      <c r="B239" s="293"/>
      <c r="C239" s="327" t="s">
        <v>742</v>
      </c>
      <c r="D239" s="328">
        <f>SUM(D236:D238)</f>
        <v>900</v>
      </c>
      <c r="E239" s="329"/>
      <c r="F239" s="329"/>
      <c r="G239" s="329"/>
      <c r="H239" s="329"/>
      <c r="I239" s="322" t="s">
        <v>743</v>
      </c>
      <c r="J239" s="325" t="s">
        <v>1059</v>
      </c>
      <c r="K239" s="326" t="s">
        <v>1057</v>
      </c>
      <c r="L239" s="326" t="s">
        <v>1057</v>
      </c>
      <c r="M239" s="326" t="s">
        <v>1057</v>
      </c>
      <c r="N239" s="323"/>
    </row>
    <row r="240" spans="1:14" ht="21" customHeight="1">
      <c r="A240" s="323" t="s">
        <v>744</v>
      </c>
      <c r="B240" s="330"/>
      <c r="C240" s="331"/>
      <c r="D240" s="332"/>
      <c r="E240" s="332" t="s">
        <v>1069</v>
      </c>
      <c r="F240" s="332"/>
      <c r="G240" s="332"/>
      <c r="H240" s="332"/>
      <c r="I240" s="322" t="s">
        <v>745</v>
      </c>
      <c r="J240" s="294" t="s">
        <v>749</v>
      </c>
      <c r="K240" s="294" t="s">
        <v>749</v>
      </c>
      <c r="L240" s="294" t="s">
        <v>749</v>
      </c>
      <c r="M240" s="294"/>
      <c r="N240" s="323"/>
    </row>
    <row r="241" spans="1:14" ht="21" customHeight="1">
      <c r="A241" s="491" t="s">
        <v>746</v>
      </c>
      <c r="B241" s="333" t="s">
        <v>1253</v>
      </c>
      <c r="C241" s="334"/>
      <c r="D241" s="334"/>
      <c r="E241" s="334"/>
      <c r="F241" s="334"/>
      <c r="G241" s="334"/>
      <c r="H241" s="334"/>
      <c r="I241" s="334"/>
      <c r="J241" s="335"/>
      <c r="K241" s="336"/>
      <c r="L241" s="336"/>
      <c r="M241" s="336"/>
      <c r="N241" s="309"/>
    </row>
    <row r="242" spans="1:14" ht="21" customHeight="1">
      <c r="A242" s="492"/>
      <c r="B242" s="307" t="s">
        <v>1254</v>
      </c>
      <c r="C242" s="334"/>
      <c r="D242" s="334"/>
      <c r="E242" s="334"/>
      <c r="F242" s="334"/>
      <c r="G242" s="334"/>
      <c r="H242" s="334"/>
      <c r="I242" s="334"/>
      <c r="J242" s="334"/>
      <c r="K242" s="334"/>
      <c r="L242" s="334"/>
      <c r="M242" s="334"/>
      <c r="N242" s="337"/>
    </row>
    <row r="243" spans="1:14" ht="21" customHeight="1">
      <c r="A243" s="492"/>
      <c r="B243" s="307" t="s">
        <v>1255</v>
      </c>
      <c r="C243" s="308"/>
      <c r="D243" s="308"/>
      <c r="E243" s="308"/>
      <c r="F243" s="308"/>
      <c r="G243" s="308"/>
      <c r="H243" s="308"/>
      <c r="I243" s="308"/>
      <c r="J243" s="308"/>
      <c r="K243" s="308"/>
      <c r="L243" s="308"/>
      <c r="M243" s="308"/>
      <c r="N243" s="309"/>
    </row>
    <row r="244" spans="1:14" ht="21" customHeight="1">
      <c r="A244" s="492"/>
      <c r="B244" s="307"/>
      <c r="C244" s="308"/>
      <c r="D244" s="308"/>
      <c r="E244" s="308"/>
      <c r="F244" s="308"/>
      <c r="G244" s="308"/>
      <c r="H244" s="308"/>
      <c r="I244" s="308"/>
      <c r="J244" s="308"/>
      <c r="K244" s="308"/>
      <c r="L244" s="308"/>
      <c r="M244" s="308"/>
      <c r="N244" s="309"/>
    </row>
    <row r="245" spans="1:14" ht="21" customHeight="1">
      <c r="A245" s="493"/>
      <c r="B245" s="338"/>
      <c r="C245" s="334"/>
      <c r="D245" s="334"/>
      <c r="E245" s="334"/>
      <c r="F245" s="334"/>
      <c r="G245" s="334"/>
      <c r="H245" s="334"/>
      <c r="I245" s="334"/>
      <c r="J245" s="334"/>
      <c r="K245" s="334"/>
      <c r="L245" s="334"/>
      <c r="M245" s="334"/>
      <c r="N245" s="339"/>
    </row>
    <row r="247" spans="1:14" ht="21" customHeight="1">
      <c r="A247" s="310" t="s">
        <v>727</v>
      </c>
      <c r="B247" s="310" t="s">
        <v>728</v>
      </c>
      <c r="C247" s="310" t="s">
        <v>729</v>
      </c>
      <c r="D247" s="311" t="s">
        <v>730</v>
      </c>
      <c r="E247" s="312" t="s">
        <v>731</v>
      </c>
      <c r="F247" s="313" t="s">
        <v>732</v>
      </c>
      <c r="G247" s="313" t="s">
        <v>733</v>
      </c>
      <c r="H247" s="313" t="s">
        <v>734</v>
      </c>
      <c r="I247" s="314" t="s">
        <v>459</v>
      </c>
      <c r="J247" s="315" t="s">
        <v>16</v>
      </c>
      <c r="K247" s="315" t="s">
        <v>463</v>
      </c>
      <c r="L247" s="315" t="s">
        <v>460</v>
      </c>
      <c r="M247" s="315" t="s">
        <v>18</v>
      </c>
      <c r="N247" s="315" t="s">
        <v>735</v>
      </c>
    </row>
    <row r="248" spans="1:14" ht="21" customHeight="1">
      <c r="A248" s="488" t="s">
        <v>496</v>
      </c>
      <c r="B248" s="343"/>
      <c r="C248" s="316" t="s">
        <v>736</v>
      </c>
      <c r="D248" s="317">
        <v>194</v>
      </c>
      <c r="E248" s="318"/>
      <c r="F248" s="318" t="s">
        <v>1201</v>
      </c>
      <c r="G248" s="318" t="s">
        <v>78</v>
      </c>
      <c r="H248" s="318" t="s">
        <v>69</v>
      </c>
      <c r="I248" s="319" t="s">
        <v>737</v>
      </c>
      <c r="J248" s="320" t="s">
        <v>1114</v>
      </c>
      <c r="K248" s="321" t="s">
        <v>1115</v>
      </c>
      <c r="L248" s="320"/>
      <c r="M248" s="321"/>
      <c r="N248" s="320"/>
    </row>
    <row r="249" spans="1:14" ht="21" customHeight="1">
      <c r="A249" s="489"/>
      <c r="B249" s="433" t="s">
        <v>1111</v>
      </c>
      <c r="C249" s="318" t="s">
        <v>738</v>
      </c>
      <c r="D249" s="317">
        <v>243</v>
      </c>
      <c r="E249" s="317" t="s">
        <v>145</v>
      </c>
      <c r="F249" s="318"/>
      <c r="G249" s="318"/>
      <c r="H249" s="318"/>
      <c r="I249" s="322" t="s">
        <v>739</v>
      </c>
      <c r="J249" s="323" t="s">
        <v>815</v>
      </c>
      <c r="K249" s="323" t="s">
        <v>815</v>
      </c>
      <c r="L249" s="323" t="s">
        <v>815</v>
      </c>
      <c r="M249" s="323" t="s">
        <v>815</v>
      </c>
      <c r="N249" s="324"/>
    </row>
    <row r="250" spans="1:14" ht="21" customHeight="1">
      <c r="A250" s="489"/>
      <c r="B250" s="292" t="s">
        <v>747</v>
      </c>
      <c r="C250" s="318" t="s">
        <v>740</v>
      </c>
      <c r="D250" s="318">
        <v>266</v>
      </c>
      <c r="E250" s="318"/>
      <c r="F250" s="318"/>
      <c r="G250" s="318"/>
      <c r="H250" s="318"/>
      <c r="I250" s="322" t="s">
        <v>741</v>
      </c>
      <c r="J250" s="325" t="s">
        <v>1055</v>
      </c>
      <c r="K250" s="325" t="s">
        <v>1056</v>
      </c>
      <c r="L250" s="325" t="s">
        <v>1056</v>
      </c>
      <c r="M250" s="326" t="s">
        <v>1058</v>
      </c>
      <c r="N250" s="323"/>
    </row>
    <row r="251" spans="1:14" ht="21" customHeight="1">
      <c r="A251" s="490"/>
      <c r="B251" s="293"/>
      <c r="C251" s="327" t="s">
        <v>742</v>
      </c>
      <c r="D251" s="328">
        <f>SUM(D248:D250)</f>
        <v>703</v>
      </c>
      <c r="E251" s="329"/>
      <c r="F251" s="329"/>
      <c r="G251" s="329"/>
      <c r="H251" s="329"/>
      <c r="I251" s="322" t="s">
        <v>743</v>
      </c>
      <c r="J251" s="325" t="s">
        <v>1059</v>
      </c>
      <c r="K251" s="326" t="s">
        <v>1057</v>
      </c>
      <c r="L251" s="326" t="s">
        <v>1057</v>
      </c>
      <c r="M251" s="326" t="s">
        <v>1057</v>
      </c>
      <c r="N251" s="323"/>
    </row>
    <row r="252" spans="1:14" ht="21" customHeight="1">
      <c r="A252" s="323" t="s">
        <v>744</v>
      </c>
      <c r="B252" s="330"/>
      <c r="C252" s="331"/>
      <c r="D252" s="332"/>
      <c r="E252" s="332" t="s">
        <v>149</v>
      </c>
      <c r="F252" s="332" t="s">
        <v>149</v>
      </c>
      <c r="G252" s="332"/>
      <c r="H252" s="332"/>
      <c r="I252" s="322" t="s">
        <v>745</v>
      </c>
      <c r="J252" s="294" t="s">
        <v>749</v>
      </c>
      <c r="K252" s="294" t="s">
        <v>749</v>
      </c>
      <c r="L252" s="294" t="s">
        <v>749</v>
      </c>
      <c r="M252" s="294"/>
      <c r="N252" s="323"/>
    </row>
    <row r="253" spans="1:14" ht="21" customHeight="1">
      <c r="A253" s="491" t="s">
        <v>746</v>
      </c>
      <c r="B253" s="333" t="s">
        <v>1256</v>
      </c>
      <c r="C253" s="334"/>
      <c r="D253" s="334"/>
      <c r="E253" s="334"/>
      <c r="F253" s="334"/>
      <c r="G253" s="334"/>
      <c r="H253" s="334"/>
      <c r="I253" s="334"/>
      <c r="J253" s="335"/>
      <c r="K253" s="336"/>
      <c r="L253" s="336"/>
      <c r="M253" s="336"/>
      <c r="N253" s="309"/>
    </row>
    <row r="254" spans="1:14" ht="21" customHeight="1">
      <c r="A254" s="492"/>
      <c r="B254" s="307" t="s">
        <v>1257</v>
      </c>
      <c r="C254" s="334"/>
      <c r="D254" s="334"/>
      <c r="E254" s="334"/>
      <c r="F254" s="334"/>
      <c r="G254" s="334"/>
      <c r="H254" s="334"/>
      <c r="I254" s="334"/>
      <c r="J254" s="334"/>
      <c r="K254" s="334"/>
      <c r="L254" s="334"/>
      <c r="M254" s="334"/>
      <c r="N254" s="337"/>
    </row>
    <row r="255" spans="1:14" ht="21" customHeight="1">
      <c r="A255" s="492"/>
      <c r="B255" s="307" t="s">
        <v>1258</v>
      </c>
      <c r="C255" s="308"/>
      <c r="D255" s="308"/>
      <c r="E255" s="308"/>
      <c r="F255" s="308"/>
      <c r="G255" s="308"/>
      <c r="H255" s="308"/>
      <c r="I255" s="308"/>
      <c r="J255" s="308"/>
      <c r="K255" s="308"/>
      <c r="L255" s="308"/>
      <c r="M255" s="308"/>
      <c r="N255" s="309"/>
    </row>
    <row r="256" spans="1:14" ht="21" customHeight="1">
      <c r="A256" s="492"/>
      <c r="B256" s="307" t="s">
        <v>1259</v>
      </c>
      <c r="C256" s="308"/>
      <c r="D256" s="308"/>
      <c r="E256" s="308"/>
      <c r="F256" s="308"/>
      <c r="G256" s="308"/>
      <c r="H256" s="308"/>
      <c r="I256" s="308"/>
      <c r="J256" s="308"/>
      <c r="K256" s="308"/>
      <c r="L256" s="308"/>
      <c r="M256" s="308"/>
      <c r="N256" s="309"/>
    </row>
    <row r="257" spans="1:14" ht="21" customHeight="1">
      <c r="A257" s="492"/>
      <c r="B257" s="307" t="s">
        <v>1260</v>
      </c>
      <c r="C257" s="308"/>
      <c r="D257" s="308"/>
      <c r="E257" s="308"/>
      <c r="F257" s="308"/>
      <c r="G257" s="308"/>
      <c r="H257" s="308"/>
      <c r="I257" s="308"/>
      <c r="J257" s="308"/>
      <c r="K257" s="308"/>
      <c r="L257" s="308"/>
      <c r="M257" s="308"/>
      <c r="N257" s="309"/>
    </row>
    <row r="258" spans="1:14" ht="21" customHeight="1">
      <c r="A258" s="493"/>
      <c r="B258" s="338" t="s">
        <v>1261</v>
      </c>
      <c r="C258" s="334"/>
      <c r="D258" s="334"/>
      <c r="E258" s="334"/>
      <c r="F258" s="334"/>
      <c r="G258" s="334"/>
      <c r="H258" s="334"/>
      <c r="I258" s="334"/>
      <c r="J258" s="334"/>
      <c r="K258" s="334"/>
      <c r="L258" s="334"/>
      <c r="M258" s="334"/>
      <c r="N258" s="339"/>
    </row>
    <row r="260" spans="1:14">
      <c r="A260" s="291"/>
      <c r="B260" s="291"/>
      <c r="C260" s="291"/>
    </row>
    <row r="261" spans="1:14" ht="21" customHeight="1">
      <c r="A261" s="310" t="s">
        <v>727</v>
      </c>
      <c r="B261" s="310" t="s">
        <v>728</v>
      </c>
      <c r="C261" s="310" t="s">
        <v>729</v>
      </c>
      <c r="D261" s="311" t="s">
        <v>730</v>
      </c>
      <c r="E261" s="312" t="s">
        <v>731</v>
      </c>
      <c r="F261" s="313" t="s">
        <v>732</v>
      </c>
      <c r="G261" s="313" t="s">
        <v>733</v>
      </c>
      <c r="H261" s="313" t="s">
        <v>734</v>
      </c>
      <c r="I261" s="314" t="s">
        <v>459</v>
      </c>
      <c r="J261" s="315" t="s">
        <v>16</v>
      </c>
      <c r="K261" s="315" t="s">
        <v>463</v>
      </c>
      <c r="L261" s="315" t="s">
        <v>460</v>
      </c>
      <c r="M261" s="315" t="s">
        <v>18</v>
      </c>
      <c r="N261" s="315" t="s">
        <v>735</v>
      </c>
    </row>
    <row r="262" spans="1:14" ht="21" customHeight="1">
      <c r="A262" s="488" t="s">
        <v>496</v>
      </c>
      <c r="B262" s="343"/>
      <c r="C262" s="316" t="s">
        <v>736</v>
      </c>
      <c r="D262" s="317">
        <v>207</v>
      </c>
      <c r="E262" s="318"/>
      <c r="F262" s="318" t="s">
        <v>72</v>
      </c>
      <c r="G262" s="318" t="s">
        <v>121</v>
      </c>
      <c r="H262" s="318" t="s">
        <v>342</v>
      </c>
      <c r="I262" s="319" t="s">
        <v>737</v>
      </c>
      <c r="J262" s="320" t="s">
        <v>1113</v>
      </c>
      <c r="K262" s="321"/>
      <c r="L262" s="320"/>
      <c r="M262" s="321" t="s">
        <v>1264</v>
      </c>
      <c r="N262" s="320"/>
    </row>
    <row r="263" spans="1:14" ht="21" customHeight="1">
      <c r="A263" s="489"/>
      <c r="B263" s="433" t="s">
        <v>1112</v>
      </c>
      <c r="C263" s="318" t="s">
        <v>738</v>
      </c>
      <c r="D263" s="317">
        <v>198</v>
      </c>
      <c r="E263" s="317" t="s">
        <v>60</v>
      </c>
      <c r="F263" s="318"/>
      <c r="G263" s="318"/>
      <c r="H263" s="318"/>
      <c r="I263" s="322" t="s">
        <v>739</v>
      </c>
      <c r="J263" s="323" t="s">
        <v>815</v>
      </c>
      <c r="K263" s="323" t="s">
        <v>815</v>
      </c>
      <c r="L263" s="323" t="s">
        <v>815</v>
      </c>
      <c r="M263" s="323" t="s">
        <v>815</v>
      </c>
      <c r="N263" s="324"/>
    </row>
    <row r="264" spans="1:14" ht="21" customHeight="1">
      <c r="A264" s="489"/>
      <c r="B264" s="292" t="s">
        <v>747</v>
      </c>
      <c r="C264" s="318" t="s">
        <v>740</v>
      </c>
      <c r="D264" s="318">
        <v>175</v>
      </c>
      <c r="E264" s="318"/>
      <c r="F264" s="318"/>
      <c r="G264" s="318"/>
      <c r="H264" s="318"/>
      <c r="I264" s="322" t="s">
        <v>741</v>
      </c>
      <c r="J264" s="325" t="s">
        <v>1055</v>
      </c>
      <c r="K264" s="325" t="s">
        <v>1056</v>
      </c>
      <c r="L264" s="325" t="s">
        <v>1056</v>
      </c>
      <c r="M264" s="326" t="s">
        <v>1058</v>
      </c>
      <c r="N264" s="323"/>
    </row>
    <row r="265" spans="1:14" ht="21" customHeight="1">
      <c r="A265" s="490"/>
      <c r="B265" s="293"/>
      <c r="C265" s="327" t="s">
        <v>742</v>
      </c>
      <c r="D265" s="328">
        <f>SUM(D262:D264)</f>
        <v>580</v>
      </c>
      <c r="E265" s="329"/>
      <c r="F265" s="329"/>
      <c r="G265" s="329"/>
      <c r="H265" s="329"/>
      <c r="I265" s="322" t="s">
        <v>743</v>
      </c>
      <c r="J265" s="325" t="s">
        <v>1059</v>
      </c>
      <c r="K265" s="326" t="s">
        <v>1057</v>
      </c>
      <c r="L265" s="326" t="s">
        <v>1057</v>
      </c>
      <c r="M265" s="326" t="s">
        <v>1057</v>
      </c>
      <c r="N265" s="323"/>
    </row>
    <row r="266" spans="1:14" ht="21" customHeight="1">
      <c r="A266" s="323" t="s">
        <v>744</v>
      </c>
      <c r="B266" s="330"/>
      <c r="C266" s="331"/>
      <c r="D266" s="332"/>
      <c r="E266" s="332" t="s">
        <v>149</v>
      </c>
      <c r="F266" s="332"/>
      <c r="G266" s="332"/>
      <c r="H266" s="332"/>
      <c r="I266" s="322" t="s">
        <v>745</v>
      </c>
      <c r="J266" s="294" t="s">
        <v>749</v>
      </c>
      <c r="K266" s="294" t="s">
        <v>749</v>
      </c>
      <c r="L266" s="294" t="s">
        <v>749</v>
      </c>
      <c r="M266" s="294"/>
      <c r="N266" s="323"/>
    </row>
    <row r="267" spans="1:14" ht="21" customHeight="1">
      <c r="A267" s="491" t="s">
        <v>746</v>
      </c>
      <c r="B267" s="333" t="s">
        <v>1262</v>
      </c>
      <c r="C267" s="334"/>
      <c r="D267" s="334"/>
      <c r="E267" s="334"/>
      <c r="F267" s="334"/>
      <c r="G267" s="334"/>
      <c r="H267" s="334"/>
      <c r="I267" s="334"/>
      <c r="J267" s="335"/>
      <c r="K267" s="336"/>
      <c r="L267" s="336"/>
      <c r="M267" s="336"/>
      <c r="N267" s="309"/>
    </row>
    <row r="268" spans="1:14" ht="21" customHeight="1">
      <c r="A268" s="492"/>
      <c r="B268" s="307" t="s">
        <v>1265</v>
      </c>
      <c r="C268" s="334"/>
      <c r="D268" s="334"/>
      <c r="E268" s="334"/>
      <c r="F268" s="334"/>
      <c r="G268" s="334"/>
      <c r="H268" s="334"/>
      <c r="I268" s="334"/>
      <c r="J268" s="334"/>
      <c r="K268" s="334"/>
      <c r="L268" s="334"/>
      <c r="M268" s="334"/>
      <c r="N268" s="337"/>
    </row>
    <row r="269" spans="1:14" ht="21" customHeight="1">
      <c r="A269" s="492"/>
      <c r="B269" s="307"/>
      <c r="C269" s="308"/>
      <c r="D269" s="308"/>
      <c r="E269" s="308"/>
      <c r="F269" s="308"/>
      <c r="G269" s="308"/>
      <c r="H269" s="308"/>
      <c r="I269" s="308"/>
      <c r="J269" s="308"/>
      <c r="K269" s="308"/>
      <c r="L269" s="308"/>
      <c r="M269" s="308"/>
      <c r="N269" s="309"/>
    </row>
    <row r="270" spans="1:14" ht="21" customHeight="1">
      <c r="A270" s="492"/>
      <c r="B270" s="307"/>
      <c r="C270" s="308"/>
      <c r="D270" s="308"/>
      <c r="E270" s="308"/>
      <c r="F270" s="308"/>
      <c r="G270" s="308"/>
      <c r="H270" s="308"/>
      <c r="I270" s="308"/>
      <c r="J270" s="308"/>
      <c r="K270" s="308"/>
      <c r="L270" s="308"/>
      <c r="M270" s="308"/>
      <c r="N270" s="309"/>
    </row>
    <row r="271" spans="1:14" ht="21" customHeight="1">
      <c r="A271" s="493"/>
      <c r="B271" s="338"/>
      <c r="C271" s="334"/>
      <c r="D271" s="334"/>
      <c r="E271" s="334"/>
      <c r="F271" s="334"/>
      <c r="G271" s="334"/>
      <c r="H271" s="334"/>
      <c r="I271" s="334"/>
      <c r="J271" s="334"/>
      <c r="K271" s="334"/>
      <c r="L271" s="334"/>
      <c r="M271" s="334"/>
      <c r="N271" s="339"/>
    </row>
    <row r="273" spans="1:14">
      <c r="A273" s="291"/>
      <c r="B273" s="291"/>
      <c r="C273" s="291"/>
    </row>
    <row r="274" spans="1:14" ht="21" customHeight="1">
      <c r="A274" s="310" t="s">
        <v>727</v>
      </c>
      <c r="B274" s="310" t="s">
        <v>728</v>
      </c>
      <c r="C274" s="310" t="s">
        <v>729</v>
      </c>
      <c r="D274" s="311" t="s">
        <v>730</v>
      </c>
      <c r="E274" s="312" t="s">
        <v>731</v>
      </c>
      <c r="F274" s="313" t="s">
        <v>732</v>
      </c>
      <c r="G274" s="313" t="s">
        <v>733</v>
      </c>
      <c r="H274" s="313" t="s">
        <v>734</v>
      </c>
      <c r="I274" s="314" t="s">
        <v>459</v>
      </c>
      <c r="J274" s="315" t="s">
        <v>16</v>
      </c>
      <c r="K274" s="315" t="s">
        <v>463</v>
      </c>
      <c r="L274" s="315" t="s">
        <v>460</v>
      </c>
      <c r="M274" s="315" t="s">
        <v>18</v>
      </c>
      <c r="N274" s="315" t="s">
        <v>735</v>
      </c>
    </row>
    <row r="275" spans="1:14" ht="21" customHeight="1">
      <c r="A275" s="488" t="s">
        <v>496</v>
      </c>
      <c r="B275" s="343"/>
      <c r="C275" s="316" t="s">
        <v>736</v>
      </c>
      <c r="D275" s="317">
        <v>278</v>
      </c>
      <c r="E275" s="318"/>
      <c r="F275" s="318"/>
      <c r="G275" s="318" t="s">
        <v>137</v>
      </c>
      <c r="H275" s="318" t="s">
        <v>251</v>
      </c>
      <c r="I275" s="319" t="s">
        <v>737</v>
      </c>
      <c r="J275" s="320" t="s">
        <v>1117</v>
      </c>
      <c r="K275" s="321" t="s">
        <v>1118</v>
      </c>
      <c r="L275" s="320"/>
      <c r="M275" s="321" t="s">
        <v>1263</v>
      </c>
      <c r="N275" s="320"/>
    </row>
    <row r="276" spans="1:14" ht="21" customHeight="1">
      <c r="A276" s="489"/>
      <c r="B276" s="433" t="s">
        <v>1116</v>
      </c>
      <c r="C276" s="318" t="s">
        <v>738</v>
      </c>
      <c r="D276" s="317">
        <v>378</v>
      </c>
      <c r="E276" s="317" t="s">
        <v>137</v>
      </c>
      <c r="F276" s="318" t="s">
        <v>145</v>
      </c>
      <c r="G276" s="318"/>
      <c r="H276" s="318"/>
      <c r="I276" s="322" t="s">
        <v>739</v>
      </c>
      <c r="J276" s="323" t="s">
        <v>815</v>
      </c>
      <c r="K276" s="323" t="s">
        <v>815</v>
      </c>
      <c r="L276" s="323" t="s">
        <v>815</v>
      </c>
      <c r="M276" s="323" t="s">
        <v>815</v>
      </c>
      <c r="N276" s="324"/>
    </row>
    <row r="277" spans="1:14" ht="21" customHeight="1">
      <c r="A277" s="489"/>
      <c r="B277" s="292" t="s">
        <v>747</v>
      </c>
      <c r="C277" s="318" t="s">
        <v>740</v>
      </c>
      <c r="D277" s="318">
        <v>32</v>
      </c>
      <c r="E277" s="318"/>
      <c r="F277" s="318"/>
      <c r="G277" s="318"/>
      <c r="H277" s="318"/>
      <c r="I277" s="322" t="s">
        <v>741</v>
      </c>
      <c r="J277" s="325" t="s">
        <v>1055</v>
      </c>
      <c r="K277" s="325" t="s">
        <v>1056</v>
      </c>
      <c r="L277" s="325" t="s">
        <v>1056</v>
      </c>
      <c r="M277" s="326" t="s">
        <v>1058</v>
      </c>
      <c r="N277" s="323"/>
    </row>
    <row r="278" spans="1:14" ht="21" customHeight="1">
      <c r="A278" s="490"/>
      <c r="B278" s="293"/>
      <c r="C278" s="327" t="s">
        <v>742</v>
      </c>
      <c r="D278" s="328">
        <f>SUM(D275:D277)</f>
        <v>688</v>
      </c>
      <c r="E278" s="329"/>
      <c r="F278" s="329"/>
      <c r="G278" s="329"/>
      <c r="H278" s="329"/>
      <c r="I278" s="322" t="s">
        <v>743</v>
      </c>
      <c r="J278" s="325" t="s">
        <v>1059</v>
      </c>
      <c r="K278" s="326" t="s">
        <v>1057</v>
      </c>
      <c r="L278" s="326" t="s">
        <v>1057</v>
      </c>
      <c r="M278" s="326" t="s">
        <v>1057</v>
      </c>
      <c r="N278" s="323"/>
    </row>
    <row r="279" spans="1:14" ht="21" customHeight="1">
      <c r="A279" s="323" t="s">
        <v>744</v>
      </c>
      <c r="B279" s="330"/>
      <c r="C279" s="331"/>
      <c r="D279" s="332"/>
      <c r="E279" s="332"/>
      <c r="F279" s="332"/>
      <c r="G279" s="332"/>
      <c r="H279" s="332"/>
      <c r="I279" s="322" t="s">
        <v>745</v>
      </c>
      <c r="J279" s="294" t="s">
        <v>749</v>
      </c>
      <c r="K279" s="294" t="s">
        <v>749</v>
      </c>
      <c r="L279" s="294" t="s">
        <v>749</v>
      </c>
      <c r="M279" s="294"/>
      <c r="N279" s="323"/>
    </row>
    <row r="280" spans="1:14" ht="21" customHeight="1">
      <c r="A280" s="491" t="s">
        <v>746</v>
      </c>
      <c r="B280" s="333" t="s">
        <v>1266</v>
      </c>
      <c r="C280" s="334"/>
      <c r="D280" s="334"/>
      <c r="E280" s="334"/>
      <c r="F280" s="334"/>
      <c r="G280" s="334"/>
      <c r="H280" s="334"/>
      <c r="I280" s="334"/>
      <c r="J280" s="335"/>
      <c r="K280" s="336"/>
      <c r="L280" s="336"/>
      <c r="M280" s="336"/>
      <c r="N280" s="309"/>
    </row>
    <row r="281" spans="1:14" ht="21" customHeight="1">
      <c r="A281" s="492"/>
      <c r="B281" s="307" t="s">
        <v>1267</v>
      </c>
      <c r="C281" s="334"/>
      <c r="D281" s="334"/>
      <c r="E281" s="334"/>
      <c r="F281" s="334"/>
      <c r="G281" s="334"/>
      <c r="H281" s="334"/>
      <c r="I281" s="334"/>
      <c r="J281" s="334"/>
      <c r="K281" s="334"/>
      <c r="L281" s="334"/>
      <c r="M281" s="334"/>
      <c r="N281" s="337"/>
    </row>
    <row r="282" spans="1:14" ht="21" customHeight="1">
      <c r="A282" s="492"/>
      <c r="B282" s="307" t="s">
        <v>1268</v>
      </c>
      <c r="C282" s="308"/>
      <c r="D282" s="308"/>
      <c r="E282" s="308"/>
      <c r="F282" s="308"/>
      <c r="G282" s="308"/>
      <c r="H282" s="308"/>
      <c r="I282" s="308"/>
      <c r="J282" s="308"/>
      <c r="K282" s="308"/>
      <c r="L282" s="308"/>
      <c r="M282" s="308"/>
      <c r="N282" s="309"/>
    </row>
    <row r="283" spans="1:14" ht="21" customHeight="1">
      <c r="A283" s="492"/>
      <c r="B283" s="307" t="s">
        <v>1269</v>
      </c>
      <c r="C283" s="308"/>
      <c r="D283" s="308"/>
      <c r="E283" s="308"/>
      <c r="F283" s="308"/>
      <c r="G283" s="308"/>
      <c r="H283" s="308"/>
      <c r="I283" s="308"/>
      <c r="J283" s="308"/>
      <c r="K283" s="308"/>
      <c r="L283" s="308"/>
      <c r="M283" s="308"/>
      <c r="N283" s="309"/>
    </row>
    <row r="284" spans="1:14" ht="21" customHeight="1">
      <c r="A284" s="493"/>
      <c r="B284" s="338"/>
      <c r="C284" s="334"/>
      <c r="D284" s="334"/>
      <c r="E284" s="334"/>
      <c r="F284" s="334"/>
      <c r="G284" s="334"/>
      <c r="H284" s="334"/>
      <c r="I284" s="334"/>
      <c r="J284" s="334"/>
      <c r="K284" s="334"/>
      <c r="L284" s="334"/>
      <c r="M284" s="334"/>
      <c r="N284" s="339"/>
    </row>
    <row r="287" spans="1:14" ht="21" customHeight="1">
      <c r="A287" s="310" t="s">
        <v>727</v>
      </c>
      <c r="B287" s="310" t="s">
        <v>728</v>
      </c>
      <c r="C287" s="310" t="s">
        <v>729</v>
      </c>
      <c r="D287" s="311" t="s">
        <v>730</v>
      </c>
      <c r="E287" s="312" t="s">
        <v>731</v>
      </c>
      <c r="F287" s="313" t="s">
        <v>732</v>
      </c>
      <c r="G287" s="313" t="s">
        <v>733</v>
      </c>
      <c r="H287" s="313" t="s">
        <v>734</v>
      </c>
      <c r="I287" s="314" t="s">
        <v>459</v>
      </c>
      <c r="J287" s="315" t="s">
        <v>16</v>
      </c>
      <c r="K287" s="315" t="s">
        <v>463</v>
      </c>
      <c r="L287" s="315" t="s">
        <v>460</v>
      </c>
      <c r="M287" s="315" t="s">
        <v>18</v>
      </c>
      <c r="N287" s="315" t="s">
        <v>735</v>
      </c>
    </row>
    <row r="288" spans="1:14" ht="21" customHeight="1">
      <c r="A288" s="488" t="s">
        <v>1119</v>
      </c>
      <c r="B288" s="343"/>
      <c r="C288" s="316" t="s">
        <v>736</v>
      </c>
      <c r="D288" s="317">
        <v>165</v>
      </c>
      <c r="E288" s="318"/>
      <c r="F288" s="318" t="s">
        <v>1088</v>
      </c>
      <c r="G288" s="318" t="s">
        <v>1084</v>
      </c>
      <c r="H288" s="318" t="s">
        <v>1079</v>
      </c>
      <c r="I288" s="319" t="s">
        <v>737</v>
      </c>
      <c r="J288" s="320" t="s">
        <v>1271</v>
      </c>
      <c r="K288" s="321" t="s">
        <v>1270</v>
      </c>
      <c r="L288" s="320"/>
      <c r="M288" s="321" t="s">
        <v>1272</v>
      </c>
      <c r="N288" s="320"/>
    </row>
    <row r="289" spans="1:14" ht="21" customHeight="1">
      <c r="A289" s="489"/>
      <c r="B289" s="292" t="s">
        <v>1120</v>
      </c>
      <c r="C289" s="318" t="s">
        <v>738</v>
      </c>
      <c r="D289" s="317">
        <v>147</v>
      </c>
      <c r="E289" s="317"/>
      <c r="F289" s="318"/>
      <c r="G289" s="318"/>
      <c r="H289" s="318"/>
      <c r="I289" s="322" t="s">
        <v>739</v>
      </c>
      <c r="J289" s="323" t="s">
        <v>815</v>
      </c>
      <c r="K289" s="323" t="s">
        <v>815</v>
      </c>
      <c r="L289" s="323" t="s">
        <v>815</v>
      </c>
      <c r="M289" s="323" t="s">
        <v>815</v>
      </c>
      <c r="N289" s="324"/>
    </row>
    <row r="290" spans="1:14" ht="21" customHeight="1">
      <c r="A290" s="489"/>
      <c r="B290" s="292" t="s">
        <v>747</v>
      </c>
      <c r="C290" s="318" t="s">
        <v>740</v>
      </c>
      <c r="D290" s="318">
        <v>111</v>
      </c>
      <c r="E290" s="318"/>
      <c r="F290" s="318"/>
      <c r="G290" s="318"/>
      <c r="H290" s="318"/>
      <c r="I290" s="322" t="s">
        <v>741</v>
      </c>
      <c r="J290" s="325" t="s">
        <v>1055</v>
      </c>
      <c r="K290" s="325" t="s">
        <v>1056</v>
      </c>
      <c r="L290" s="325" t="s">
        <v>1056</v>
      </c>
      <c r="M290" s="326" t="s">
        <v>1058</v>
      </c>
      <c r="N290" s="323"/>
    </row>
    <row r="291" spans="1:14" ht="21" customHeight="1">
      <c r="A291" s="490"/>
      <c r="B291" s="293"/>
      <c r="C291" s="327" t="s">
        <v>742</v>
      </c>
      <c r="D291" s="328">
        <f>SUM(D288:D290)</f>
        <v>423</v>
      </c>
      <c r="E291" s="329"/>
      <c r="F291" s="329"/>
      <c r="G291" s="329"/>
      <c r="H291" s="329"/>
      <c r="I291" s="322" t="s">
        <v>743</v>
      </c>
      <c r="J291" s="325" t="s">
        <v>1059</v>
      </c>
      <c r="K291" s="326" t="s">
        <v>1057</v>
      </c>
      <c r="L291" s="326" t="s">
        <v>1057</v>
      </c>
      <c r="M291" s="326" t="s">
        <v>1057</v>
      </c>
      <c r="N291" s="323"/>
    </row>
    <row r="292" spans="1:14" ht="21" customHeight="1">
      <c r="A292" s="323" t="s">
        <v>744</v>
      </c>
      <c r="B292" s="330"/>
      <c r="C292" s="331"/>
      <c r="D292" s="332"/>
      <c r="E292" s="332" t="s">
        <v>1069</v>
      </c>
      <c r="F292" s="332"/>
      <c r="G292" s="332"/>
      <c r="H292" s="332"/>
      <c r="I292" s="322" t="s">
        <v>745</v>
      </c>
      <c r="J292" s="294" t="s">
        <v>749</v>
      </c>
      <c r="K292" s="294" t="s">
        <v>749</v>
      </c>
      <c r="L292" s="294" t="s">
        <v>749</v>
      </c>
      <c r="M292" s="294"/>
      <c r="N292" s="323"/>
    </row>
    <row r="293" spans="1:14" ht="21" customHeight="1">
      <c r="A293" s="491" t="s">
        <v>746</v>
      </c>
      <c r="B293" s="333" t="s">
        <v>1273</v>
      </c>
      <c r="C293" s="334"/>
      <c r="D293" s="334"/>
      <c r="E293" s="334"/>
      <c r="F293" s="334"/>
      <c r="G293" s="334"/>
      <c r="H293" s="334"/>
      <c r="I293" s="334"/>
      <c r="J293" s="335"/>
      <c r="K293" s="336"/>
      <c r="L293" s="336"/>
      <c r="M293" s="336"/>
      <c r="N293" s="309"/>
    </row>
    <row r="294" spans="1:14" ht="21" customHeight="1">
      <c r="A294" s="492"/>
      <c r="B294" s="307" t="s">
        <v>1274</v>
      </c>
      <c r="C294" s="334"/>
      <c r="D294" s="334"/>
      <c r="E294" s="334"/>
      <c r="F294" s="334"/>
      <c r="G294" s="334"/>
      <c r="H294" s="334"/>
      <c r="I294" s="334"/>
      <c r="J294" s="334"/>
      <c r="K294" s="334"/>
      <c r="L294" s="334"/>
      <c r="M294" s="334"/>
      <c r="N294" s="337"/>
    </row>
    <row r="295" spans="1:14" ht="21" customHeight="1">
      <c r="A295" s="492"/>
      <c r="B295" s="307" t="s">
        <v>1275</v>
      </c>
      <c r="C295" s="308"/>
      <c r="D295" s="308"/>
      <c r="E295" s="308"/>
      <c r="F295" s="308"/>
      <c r="G295" s="308"/>
      <c r="H295" s="308"/>
      <c r="I295" s="308"/>
      <c r="J295" s="308"/>
      <c r="K295" s="308"/>
      <c r="L295" s="308"/>
      <c r="M295" s="308"/>
      <c r="N295" s="309"/>
    </row>
    <row r="296" spans="1:14" ht="21" customHeight="1">
      <c r="A296" s="492"/>
      <c r="B296" s="307"/>
      <c r="C296" s="308"/>
      <c r="D296" s="308"/>
      <c r="E296" s="308"/>
      <c r="F296" s="308"/>
      <c r="G296" s="308"/>
      <c r="H296" s="308"/>
      <c r="I296" s="308"/>
      <c r="J296" s="308"/>
      <c r="K296" s="308"/>
      <c r="L296" s="308"/>
      <c r="M296" s="308"/>
      <c r="N296" s="309"/>
    </row>
    <row r="297" spans="1:14" ht="21" customHeight="1">
      <c r="A297" s="493"/>
      <c r="B297" s="338"/>
      <c r="C297" s="334"/>
      <c r="D297" s="334"/>
      <c r="E297" s="334"/>
      <c r="F297" s="334"/>
      <c r="G297" s="334"/>
      <c r="H297" s="334"/>
      <c r="I297" s="334"/>
      <c r="J297" s="334"/>
      <c r="K297" s="334"/>
      <c r="L297" s="334"/>
      <c r="M297" s="334"/>
      <c r="N297" s="339"/>
    </row>
    <row r="298" spans="1:14" ht="21" customHeight="1">
      <c r="A298" s="299"/>
      <c r="B298" s="300"/>
      <c r="C298" s="300"/>
      <c r="D298" s="300"/>
      <c r="E298" s="300"/>
      <c r="F298" s="300"/>
      <c r="G298" s="300"/>
      <c r="H298" s="300"/>
      <c r="I298" s="300"/>
      <c r="J298" s="300"/>
      <c r="K298" s="300"/>
      <c r="L298" s="300"/>
      <c r="M298" s="300"/>
      <c r="N298" s="300"/>
    </row>
    <row r="299" spans="1:14" ht="21" customHeight="1">
      <c r="A299" s="310" t="s">
        <v>727</v>
      </c>
      <c r="B299" s="310" t="s">
        <v>728</v>
      </c>
      <c r="C299" s="310" t="s">
        <v>729</v>
      </c>
      <c r="D299" s="311" t="s">
        <v>730</v>
      </c>
      <c r="E299" s="312" t="s">
        <v>731</v>
      </c>
      <c r="F299" s="313" t="s">
        <v>732</v>
      </c>
      <c r="G299" s="313" t="s">
        <v>733</v>
      </c>
      <c r="H299" s="313" t="s">
        <v>734</v>
      </c>
      <c r="I299" s="314" t="s">
        <v>459</v>
      </c>
      <c r="J299" s="315" t="s">
        <v>16</v>
      </c>
      <c r="K299" s="315" t="s">
        <v>463</v>
      </c>
      <c r="L299" s="315" t="s">
        <v>460</v>
      </c>
      <c r="M299" s="315" t="s">
        <v>18</v>
      </c>
      <c r="N299" s="315" t="s">
        <v>735</v>
      </c>
    </row>
    <row r="300" spans="1:14" ht="21" customHeight="1">
      <c r="A300" s="488" t="s">
        <v>1119</v>
      </c>
      <c r="B300" s="343"/>
      <c r="C300" s="316" t="s">
        <v>736</v>
      </c>
      <c r="D300" s="317">
        <v>275</v>
      </c>
      <c r="E300" s="318" t="s">
        <v>1122</v>
      </c>
      <c r="F300" s="318" t="s">
        <v>1080</v>
      </c>
      <c r="G300" s="318"/>
      <c r="H300" s="318" t="s">
        <v>1077</v>
      </c>
      <c r="I300" s="319" t="s">
        <v>737</v>
      </c>
      <c r="J300" s="320" t="s">
        <v>1276</v>
      </c>
      <c r="K300" s="321" t="s">
        <v>1277</v>
      </c>
      <c r="L300" s="320" t="s">
        <v>1278</v>
      </c>
      <c r="M300" s="321"/>
      <c r="N300" s="320"/>
    </row>
    <row r="301" spans="1:14" ht="21" customHeight="1">
      <c r="A301" s="489"/>
      <c r="B301" s="292" t="s">
        <v>1121</v>
      </c>
      <c r="C301" s="318" t="s">
        <v>738</v>
      </c>
      <c r="D301" s="317">
        <v>260</v>
      </c>
      <c r="E301" s="317"/>
      <c r="F301" s="318"/>
      <c r="G301" s="318"/>
      <c r="H301" s="318"/>
      <c r="I301" s="322" t="s">
        <v>739</v>
      </c>
      <c r="J301" s="323" t="s">
        <v>815</v>
      </c>
      <c r="K301" s="323" t="s">
        <v>815</v>
      </c>
      <c r="L301" s="323" t="s">
        <v>815</v>
      </c>
      <c r="M301" s="323" t="s">
        <v>815</v>
      </c>
      <c r="N301" s="324"/>
    </row>
    <row r="302" spans="1:14" ht="21" customHeight="1">
      <c r="A302" s="489"/>
      <c r="B302" s="292" t="s">
        <v>747</v>
      </c>
      <c r="C302" s="318" t="s">
        <v>740</v>
      </c>
      <c r="D302" s="318">
        <v>230</v>
      </c>
      <c r="E302" s="318"/>
      <c r="F302" s="318"/>
      <c r="G302" s="318"/>
      <c r="H302" s="318"/>
      <c r="I302" s="322" t="s">
        <v>741</v>
      </c>
      <c r="J302" s="325" t="s">
        <v>1055</v>
      </c>
      <c r="K302" s="325" t="s">
        <v>1056</v>
      </c>
      <c r="L302" s="325" t="s">
        <v>1056</v>
      </c>
      <c r="M302" s="326" t="s">
        <v>1058</v>
      </c>
      <c r="N302" s="323"/>
    </row>
    <row r="303" spans="1:14" ht="21" customHeight="1">
      <c r="A303" s="490"/>
      <c r="B303" s="293"/>
      <c r="C303" s="327" t="s">
        <v>742</v>
      </c>
      <c r="D303" s="328">
        <f>SUM(D300:D302)</f>
        <v>765</v>
      </c>
      <c r="E303" s="329"/>
      <c r="F303" s="329"/>
      <c r="G303" s="329"/>
      <c r="H303" s="329"/>
      <c r="I303" s="322" t="s">
        <v>743</v>
      </c>
      <c r="J303" s="325" t="s">
        <v>1059</v>
      </c>
      <c r="K303" s="326" t="s">
        <v>1057</v>
      </c>
      <c r="L303" s="326" t="s">
        <v>1057</v>
      </c>
      <c r="M303" s="326" t="s">
        <v>1057</v>
      </c>
      <c r="N303" s="323"/>
    </row>
    <row r="304" spans="1:14" ht="21" customHeight="1">
      <c r="A304" s="323" t="s">
        <v>744</v>
      </c>
      <c r="B304" s="330"/>
      <c r="C304" s="331"/>
      <c r="D304" s="332"/>
      <c r="E304" s="332"/>
      <c r="F304" s="332"/>
      <c r="G304" s="332" t="s">
        <v>1069</v>
      </c>
      <c r="H304" s="332"/>
      <c r="I304" s="322" t="s">
        <v>745</v>
      </c>
      <c r="J304" s="294" t="s">
        <v>749</v>
      </c>
      <c r="K304" s="294" t="s">
        <v>749</v>
      </c>
      <c r="L304" s="294" t="s">
        <v>749</v>
      </c>
      <c r="M304" s="294"/>
      <c r="N304" s="323"/>
    </row>
    <row r="305" spans="1:14" ht="21" customHeight="1">
      <c r="A305" s="491" t="s">
        <v>746</v>
      </c>
      <c r="B305" s="333" t="s">
        <v>1279</v>
      </c>
      <c r="C305" s="334"/>
      <c r="D305" s="334"/>
      <c r="E305" s="334"/>
      <c r="F305" s="334"/>
      <c r="G305" s="334"/>
      <c r="H305" s="334"/>
      <c r="I305" s="334"/>
      <c r="J305" s="335"/>
      <c r="K305" s="336"/>
      <c r="L305" s="336"/>
      <c r="M305" s="336"/>
      <c r="N305" s="309"/>
    </row>
    <row r="306" spans="1:14" ht="21" customHeight="1">
      <c r="A306" s="492"/>
      <c r="B306" s="307" t="s">
        <v>1280</v>
      </c>
      <c r="C306" s="334"/>
      <c r="D306" s="334"/>
      <c r="E306" s="334"/>
      <c r="F306" s="334"/>
      <c r="G306" s="334"/>
      <c r="H306" s="334"/>
      <c r="I306" s="334"/>
      <c r="J306" s="334"/>
      <c r="K306" s="334"/>
      <c r="L306" s="334"/>
      <c r="M306" s="334"/>
      <c r="N306" s="337"/>
    </row>
    <row r="307" spans="1:14" ht="21" customHeight="1">
      <c r="A307" s="492"/>
      <c r="B307" s="307"/>
      <c r="C307" s="308"/>
      <c r="D307" s="308"/>
      <c r="E307" s="308"/>
      <c r="F307" s="308"/>
      <c r="G307" s="308"/>
      <c r="H307" s="308"/>
      <c r="I307" s="308"/>
      <c r="J307" s="308"/>
      <c r="K307" s="308"/>
      <c r="L307" s="308"/>
      <c r="M307" s="308"/>
      <c r="N307" s="309"/>
    </row>
    <row r="308" spans="1:14" ht="21" customHeight="1">
      <c r="A308" s="492"/>
      <c r="B308" s="307"/>
      <c r="C308" s="308"/>
      <c r="D308" s="308"/>
      <c r="E308" s="308"/>
      <c r="F308" s="308"/>
      <c r="G308" s="308"/>
      <c r="H308" s="308"/>
      <c r="I308" s="308"/>
      <c r="J308" s="308"/>
      <c r="K308" s="308"/>
      <c r="L308" s="308"/>
      <c r="M308" s="308"/>
      <c r="N308" s="309"/>
    </row>
    <row r="309" spans="1:14" ht="21" customHeight="1">
      <c r="A309" s="493"/>
      <c r="B309" s="338"/>
      <c r="C309" s="334"/>
      <c r="D309" s="334"/>
      <c r="E309" s="334"/>
      <c r="F309" s="334"/>
      <c r="G309" s="334"/>
      <c r="H309" s="334"/>
      <c r="I309" s="334"/>
      <c r="J309" s="334"/>
      <c r="K309" s="334"/>
      <c r="L309" s="334"/>
      <c r="M309" s="334"/>
      <c r="N309" s="339"/>
    </row>
    <row r="310" spans="1:14" ht="21" customHeight="1">
      <c r="A310" s="299"/>
      <c r="B310" s="300"/>
      <c r="C310" s="300"/>
      <c r="D310" s="300"/>
      <c r="E310" s="300"/>
      <c r="F310" s="300"/>
      <c r="G310" s="300"/>
      <c r="H310" s="300"/>
      <c r="I310" s="300"/>
      <c r="J310" s="300"/>
      <c r="K310" s="300"/>
      <c r="L310" s="300"/>
      <c r="M310" s="300"/>
      <c r="N310" s="300"/>
    </row>
    <row r="311" spans="1:14" ht="21" customHeight="1">
      <c r="A311" s="310" t="s">
        <v>727</v>
      </c>
      <c r="B311" s="310" t="s">
        <v>728</v>
      </c>
      <c r="C311" s="310" t="s">
        <v>729</v>
      </c>
      <c r="D311" s="311" t="s">
        <v>730</v>
      </c>
      <c r="E311" s="312" t="s">
        <v>731</v>
      </c>
      <c r="F311" s="313" t="s">
        <v>732</v>
      </c>
      <c r="G311" s="313" t="s">
        <v>733</v>
      </c>
      <c r="H311" s="313" t="s">
        <v>734</v>
      </c>
      <c r="I311" s="314" t="s">
        <v>459</v>
      </c>
      <c r="J311" s="315" t="s">
        <v>16</v>
      </c>
      <c r="K311" s="315" t="s">
        <v>463</v>
      </c>
      <c r="L311" s="315" t="s">
        <v>460</v>
      </c>
      <c r="M311" s="315" t="s">
        <v>18</v>
      </c>
      <c r="N311" s="315" t="s">
        <v>735</v>
      </c>
    </row>
    <row r="312" spans="1:14" ht="21" customHeight="1">
      <c r="A312" s="488" t="s">
        <v>1119</v>
      </c>
      <c r="B312" s="343"/>
      <c r="C312" s="316" t="s">
        <v>736</v>
      </c>
      <c r="D312" s="317">
        <v>259</v>
      </c>
      <c r="E312" s="318"/>
      <c r="F312" s="318" t="s">
        <v>1067</v>
      </c>
      <c r="G312" s="318" t="s">
        <v>1100</v>
      </c>
      <c r="H312" s="318" t="s">
        <v>1084</v>
      </c>
      <c r="I312" s="319" t="s">
        <v>737</v>
      </c>
      <c r="J312" s="320" t="s">
        <v>1281</v>
      </c>
      <c r="K312" s="321" t="s">
        <v>1282</v>
      </c>
      <c r="L312" s="320"/>
      <c r="M312" s="321" t="s">
        <v>1283</v>
      </c>
      <c r="N312" s="320"/>
    </row>
    <row r="313" spans="1:14" ht="21" customHeight="1">
      <c r="A313" s="489"/>
      <c r="B313" s="292" t="s">
        <v>1123</v>
      </c>
      <c r="C313" s="318" t="s">
        <v>738</v>
      </c>
      <c r="D313" s="317">
        <v>261</v>
      </c>
      <c r="E313" s="317"/>
      <c r="F313" s="318"/>
      <c r="G313" s="318"/>
      <c r="H313" s="318"/>
      <c r="I313" s="322" t="s">
        <v>739</v>
      </c>
      <c r="J313" s="323" t="s">
        <v>815</v>
      </c>
      <c r="K313" s="323" t="s">
        <v>815</v>
      </c>
      <c r="L313" s="323" t="s">
        <v>815</v>
      </c>
      <c r="M313" s="323" t="s">
        <v>815</v>
      </c>
      <c r="N313" s="324"/>
    </row>
    <row r="314" spans="1:14" ht="21" customHeight="1">
      <c r="A314" s="489"/>
      <c r="B314" s="292" t="s">
        <v>747</v>
      </c>
      <c r="C314" s="318" t="s">
        <v>740</v>
      </c>
      <c r="D314" s="318">
        <v>235</v>
      </c>
      <c r="E314" s="318"/>
      <c r="F314" s="318"/>
      <c r="G314" s="318"/>
      <c r="H314" s="318"/>
      <c r="I314" s="322" t="s">
        <v>741</v>
      </c>
      <c r="J314" s="325" t="s">
        <v>1055</v>
      </c>
      <c r="K314" s="325" t="s">
        <v>1056</v>
      </c>
      <c r="L314" s="325" t="s">
        <v>1056</v>
      </c>
      <c r="M314" s="326" t="s">
        <v>1058</v>
      </c>
      <c r="N314" s="323"/>
    </row>
    <row r="315" spans="1:14" ht="21" customHeight="1">
      <c r="A315" s="490"/>
      <c r="B315" s="293"/>
      <c r="C315" s="327" t="s">
        <v>742</v>
      </c>
      <c r="D315" s="328">
        <f>SUM(D312:D314)</f>
        <v>755</v>
      </c>
      <c r="E315" s="329"/>
      <c r="F315" s="329"/>
      <c r="G315" s="329"/>
      <c r="H315" s="329"/>
      <c r="I315" s="322" t="s">
        <v>743</v>
      </c>
      <c r="J315" s="325" t="s">
        <v>1059</v>
      </c>
      <c r="K315" s="326" t="s">
        <v>1057</v>
      </c>
      <c r="L315" s="326" t="s">
        <v>1057</v>
      </c>
      <c r="M315" s="326" t="s">
        <v>1057</v>
      </c>
      <c r="N315" s="323"/>
    </row>
    <row r="316" spans="1:14" ht="21" customHeight="1">
      <c r="A316" s="323" t="s">
        <v>744</v>
      </c>
      <c r="B316" s="330"/>
      <c r="C316" s="331"/>
      <c r="D316" s="332"/>
      <c r="E316" s="332" t="s">
        <v>1069</v>
      </c>
      <c r="F316" s="332"/>
      <c r="G316" s="332"/>
      <c r="H316" s="332"/>
      <c r="I316" s="322" t="s">
        <v>745</v>
      </c>
      <c r="J316" s="294" t="s">
        <v>749</v>
      </c>
      <c r="K316" s="294" t="s">
        <v>749</v>
      </c>
      <c r="L316" s="294" t="s">
        <v>749</v>
      </c>
      <c r="M316" s="294"/>
      <c r="N316" s="323"/>
    </row>
    <row r="317" spans="1:14" ht="21" customHeight="1">
      <c r="A317" s="491" t="s">
        <v>746</v>
      </c>
      <c r="B317" s="333" t="s">
        <v>1284</v>
      </c>
      <c r="C317" s="334"/>
      <c r="D317" s="334"/>
      <c r="E317" s="334"/>
      <c r="F317" s="334"/>
      <c r="G317" s="334"/>
      <c r="H317" s="334"/>
      <c r="I317" s="334"/>
      <c r="J317" s="335"/>
      <c r="K317" s="336"/>
      <c r="L317" s="336"/>
      <c r="M317" s="336"/>
      <c r="N317" s="309"/>
    </row>
    <row r="318" spans="1:14" ht="21" customHeight="1">
      <c r="A318" s="492"/>
      <c r="B318" s="307" t="s">
        <v>1285</v>
      </c>
      <c r="C318" s="334"/>
      <c r="D318" s="334"/>
      <c r="E318" s="334"/>
      <c r="F318" s="334"/>
      <c r="G318" s="334"/>
      <c r="H318" s="334"/>
      <c r="I318" s="334"/>
      <c r="J318" s="334"/>
      <c r="K318" s="334"/>
      <c r="L318" s="334"/>
      <c r="M318" s="334"/>
      <c r="N318" s="337"/>
    </row>
    <row r="319" spans="1:14" ht="21" customHeight="1">
      <c r="A319" s="492"/>
      <c r="B319" s="307" t="s">
        <v>1286</v>
      </c>
      <c r="C319" s="308"/>
      <c r="D319" s="308"/>
      <c r="E319" s="308"/>
      <c r="F319" s="308"/>
      <c r="G319" s="308"/>
      <c r="H319" s="308"/>
      <c r="I319" s="308"/>
      <c r="J319" s="308"/>
      <c r="K319" s="308"/>
      <c r="L319" s="308"/>
      <c r="M319" s="308"/>
      <c r="N319" s="309"/>
    </row>
    <row r="320" spans="1:14" ht="21" customHeight="1">
      <c r="A320" s="492"/>
      <c r="B320" s="307"/>
      <c r="C320" s="308"/>
      <c r="D320" s="308"/>
      <c r="E320" s="308"/>
      <c r="F320" s="308"/>
      <c r="G320" s="308"/>
      <c r="H320" s="308"/>
      <c r="I320" s="308"/>
      <c r="J320" s="308"/>
      <c r="K320" s="308"/>
      <c r="L320" s="308"/>
      <c r="M320" s="308"/>
      <c r="N320" s="309"/>
    </row>
    <row r="321" spans="1:14" ht="21" customHeight="1">
      <c r="A321" s="493"/>
      <c r="B321" s="338"/>
      <c r="C321" s="334"/>
      <c r="D321" s="334"/>
      <c r="E321" s="334"/>
      <c r="F321" s="334"/>
      <c r="G321" s="334"/>
      <c r="H321" s="334"/>
      <c r="I321" s="334"/>
      <c r="J321" s="334"/>
      <c r="K321" s="334"/>
      <c r="L321" s="334"/>
      <c r="M321" s="334"/>
      <c r="N321" s="339"/>
    </row>
    <row r="322" spans="1:14" ht="21" customHeight="1">
      <c r="A322" s="299"/>
      <c r="B322" s="300"/>
      <c r="C322" s="300"/>
      <c r="D322" s="300"/>
      <c r="E322" s="300"/>
      <c r="F322" s="300"/>
      <c r="G322" s="300"/>
      <c r="H322" s="300"/>
      <c r="I322" s="300"/>
      <c r="J322" s="300"/>
      <c r="K322" s="300"/>
      <c r="L322" s="300"/>
      <c r="M322" s="300"/>
      <c r="N322" s="300"/>
    </row>
    <row r="323" spans="1:14" ht="21" customHeight="1">
      <c r="A323" s="299"/>
      <c r="B323" s="300"/>
      <c r="C323" s="300"/>
      <c r="D323" s="300"/>
      <c r="E323" s="300"/>
      <c r="F323" s="300"/>
      <c r="G323" s="300"/>
      <c r="H323" s="300"/>
      <c r="I323" s="300"/>
      <c r="J323" s="300"/>
      <c r="K323" s="300"/>
      <c r="L323" s="300"/>
      <c r="M323" s="300"/>
      <c r="N323" s="300"/>
    </row>
    <row r="324" spans="1:14" ht="21" customHeight="1">
      <c r="A324" s="310" t="s">
        <v>727</v>
      </c>
      <c r="B324" s="310" t="s">
        <v>728</v>
      </c>
      <c r="C324" s="310" t="s">
        <v>729</v>
      </c>
      <c r="D324" s="311" t="s">
        <v>730</v>
      </c>
      <c r="E324" s="312" t="s">
        <v>731</v>
      </c>
      <c r="F324" s="313" t="s">
        <v>732</v>
      </c>
      <c r="G324" s="313" t="s">
        <v>733</v>
      </c>
      <c r="H324" s="313" t="s">
        <v>734</v>
      </c>
      <c r="I324" s="314" t="s">
        <v>459</v>
      </c>
      <c r="J324" s="315" t="s">
        <v>16</v>
      </c>
      <c r="K324" s="315" t="s">
        <v>463</v>
      </c>
      <c r="L324" s="315" t="s">
        <v>460</v>
      </c>
      <c r="M324" s="315" t="s">
        <v>18</v>
      </c>
      <c r="N324" s="315" t="s">
        <v>735</v>
      </c>
    </row>
    <row r="325" spans="1:14" ht="21" customHeight="1">
      <c r="A325" s="488" t="s">
        <v>1119</v>
      </c>
      <c r="B325" s="343"/>
      <c r="C325" s="316" t="s">
        <v>736</v>
      </c>
      <c r="D325" s="317">
        <v>252</v>
      </c>
      <c r="E325" s="318"/>
      <c r="F325" s="318" t="s">
        <v>1080</v>
      </c>
      <c r="G325" s="318" t="s">
        <v>1079</v>
      </c>
      <c r="H325" s="318" t="s">
        <v>1104</v>
      </c>
      <c r="I325" s="319" t="s">
        <v>737</v>
      </c>
      <c r="J325" s="320" t="s">
        <v>1288</v>
      </c>
      <c r="K325" s="321"/>
      <c r="L325" s="320" t="s">
        <v>1289</v>
      </c>
      <c r="M325" s="321" t="s">
        <v>1287</v>
      </c>
      <c r="N325" s="320"/>
    </row>
    <row r="326" spans="1:14" ht="21" customHeight="1">
      <c r="A326" s="489"/>
      <c r="B326" s="292" t="s">
        <v>1124</v>
      </c>
      <c r="C326" s="318" t="s">
        <v>738</v>
      </c>
      <c r="D326" s="317">
        <v>252</v>
      </c>
      <c r="E326" s="317"/>
      <c r="F326" s="318"/>
      <c r="G326" s="318"/>
      <c r="H326" s="318"/>
      <c r="I326" s="322" t="s">
        <v>739</v>
      </c>
      <c r="J326" s="323" t="s">
        <v>815</v>
      </c>
      <c r="K326" s="323" t="s">
        <v>815</v>
      </c>
      <c r="L326" s="323" t="s">
        <v>815</v>
      </c>
      <c r="M326" s="323" t="s">
        <v>815</v>
      </c>
      <c r="N326" s="324"/>
    </row>
    <row r="327" spans="1:14" ht="21" customHeight="1">
      <c r="A327" s="489"/>
      <c r="B327" s="292" t="s">
        <v>747</v>
      </c>
      <c r="C327" s="318" t="s">
        <v>740</v>
      </c>
      <c r="D327" s="318">
        <v>250</v>
      </c>
      <c r="E327" s="318"/>
      <c r="F327" s="318"/>
      <c r="G327" s="318"/>
      <c r="H327" s="318"/>
      <c r="I327" s="322" t="s">
        <v>741</v>
      </c>
      <c r="J327" s="325" t="s">
        <v>1055</v>
      </c>
      <c r="K327" s="325" t="s">
        <v>1056</v>
      </c>
      <c r="L327" s="325" t="s">
        <v>1056</v>
      </c>
      <c r="M327" s="326" t="s">
        <v>1058</v>
      </c>
      <c r="N327" s="323"/>
    </row>
    <row r="328" spans="1:14" ht="21" customHeight="1">
      <c r="A328" s="490"/>
      <c r="B328" s="293"/>
      <c r="C328" s="327" t="s">
        <v>742</v>
      </c>
      <c r="D328" s="328">
        <f>SUM(D325:D327)</f>
        <v>754</v>
      </c>
      <c r="E328" s="329"/>
      <c r="F328" s="329"/>
      <c r="G328" s="329"/>
      <c r="H328" s="329"/>
      <c r="I328" s="322" t="s">
        <v>743</v>
      </c>
      <c r="J328" s="325" t="s">
        <v>1059</v>
      </c>
      <c r="K328" s="326" t="s">
        <v>1057</v>
      </c>
      <c r="L328" s="326" t="s">
        <v>1057</v>
      </c>
      <c r="M328" s="326" t="s">
        <v>1057</v>
      </c>
      <c r="N328" s="323"/>
    </row>
    <row r="329" spans="1:14" ht="21" customHeight="1">
      <c r="A329" s="323" t="s">
        <v>744</v>
      </c>
      <c r="B329" s="330"/>
      <c r="C329" s="331"/>
      <c r="D329" s="332"/>
      <c r="E329" s="332" t="s">
        <v>1069</v>
      </c>
      <c r="F329" s="332"/>
      <c r="G329" s="332"/>
      <c r="H329" s="332"/>
      <c r="I329" s="322" t="s">
        <v>745</v>
      </c>
      <c r="J329" s="294" t="s">
        <v>749</v>
      </c>
      <c r="K329" s="294" t="s">
        <v>749</v>
      </c>
      <c r="L329" s="294" t="s">
        <v>749</v>
      </c>
      <c r="M329" s="294"/>
      <c r="N329" s="323"/>
    </row>
    <row r="330" spans="1:14" ht="21" customHeight="1">
      <c r="A330" s="491" t="s">
        <v>746</v>
      </c>
      <c r="B330" s="333" t="s">
        <v>1290</v>
      </c>
      <c r="C330" s="334"/>
      <c r="D330" s="334"/>
      <c r="E330" s="334"/>
      <c r="F330" s="334"/>
      <c r="G330" s="334"/>
      <c r="H330" s="334"/>
      <c r="I330" s="334"/>
      <c r="J330" s="335"/>
      <c r="K330" s="336"/>
      <c r="L330" s="336"/>
      <c r="M330" s="336"/>
      <c r="N330" s="309"/>
    </row>
    <row r="331" spans="1:14" ht="21" customHeight="1">
      <c r="A331" s="492"/>
      <c r="B331" s="307" t="s">
        <v>1291</v>
      </c>
      <c r="C331" s="334"/>
      <c r="D331" s="334"/>
      <c r="E331" s="334"/>
      <c r="F331" s="334"/>
      <c r="G331" s="334"/>
      <c r="H331" s="334"/>
      <c r="I331" s="334"/>
      <c r="J331" s="334"/>
      <c r="K331" s="334"/>
      <c r="L331" s="334"/>
      <c r="M331" s="334"/>
      <c r="N331" s="337"/>
    </row>
    <row r="332" spans="1:14" ht="21" customHeight="1">
      <c r="A332" s="492"/>
      <c r="B332" s="307" t="s">
        <v>1292</v>
      </c>
      <c r="C332" s="308"/>
      <c r="D332" s="308"/>
      <c r="E332" s="308"/>
      <c r="F332" s="308"/>
      <c r="G332" s="308"/>
      <c r="H332" s="308"/>
      <c r="I332" s="308"/>
      <c r="J332" s="308"/>
      <c r="K332" s="308"/>
      <c r="L332" s="308"/>
      <c r="M332" s="308"/>
      <c r="N332" s="309"/>
    </row>
    <row r="333" spans="1:14" ht="21" customHeight="1">
      <c r="A333" s="492"/>
      <c r="B333" s="307"/>
      <c r="C333" s="308"/>
      <c r="D333" s="308"/>
      <c r="E333" s="308"/>
      <c r="F333" s="308"/>
      <c r="G333" s="308"/>
      <c r="H333" s="308"/>
      <c r="I333" s="308"/>
      <c r="J333" s="308"/>
      <c r="K333" s="308"/>
      <c r="L333" s="308"/>
      <c r="M333" s="308"/>
      <c r="N333" s="309"/>
    </row>
    <row r="334" spans="1:14" ht="21" customHeight="1">
      <c r="A334" s="493"/>
      <c r="B334" s="338"/>
      <c r="C334" s="334"/>
      <c r="D334" s="334"/>
      <c r="E334" s="334"/>
      <c r="F334" s="334"/>
      <c r="G334" s="334"/>
      <c r="H334" s="334"/>
      <c r="I334" s="334"/>
      <c r="J334" s="334"/>
      <c r="K334" s="334"/>
      <c r="L334" s="334"/>
      <c r="M334" s="334"/>
      <c r="N334" s="339"/>
    </row>
    <row r="335" spans="1:14" ht="21" customHeight="1">
      <c r="A335" s="299"/>
      <c r="B335" s="300"/>
      <c r="C335" s="300"/>
      <c r="D335" s="300"/>
      <c r="E335" s="300"/>
      <c r="F335" s="300"/>
      <c r="G335" s="300"/>
      <c r="H335" s="300"/>
      <c r="I335" s="300"/>
      <c r="J335" s="300"/>
      <c r="K335" s="300"/>
      <c r="L335" s="300"/>
      <c r="M335" s="300"/>
      <c r="N335" s="300"/>
    </row>
    <row r="336" spans="1:14" ht="21" customHeight="1">
      <c r="A336" s="299"/>
      <c r="B336" s="300"/>
      <c r="C336" s="300"/>
      <c r="D336" s="300"/>
      <c r="E336" s="300"/>
      <c r="F336" s="300"/>
      <c r="G336" s="300"/>
      <c r="H336" s="300"/>
      <c r="I336" s="300"/>
      <c r="J336" s="300"/>
      <c r="K336" s="300"/>
      <c r="L336" s="300"/>
      <c r="M336" s="300"/>
      <c r="N336" s="300"/>
    </row>
    <row r="337" spans="1:14" ht="21" customHeight="1">
      <c r="A337" s="310" t="s">
        <v>727</v>
      </c>
      <c r="B337" s="310" t="s">
        <v>728</v>
      </c>
      <c r="C337" s="310" t="s">
        <v>729</v>
      </c>
      <c r="D337" s="311" t="s">
        <v>730</v>
      </c>
      <c r="E337" s="312" t="s">
        <v>731</v>
      </c>
      <c r="F337" s="313" t="s">
        <v>732</v>
      </c>
      <c r="G337" s="313" t="s">
        <v>733</v>
      </c>
      <c r="H337" s="313" t="s">
        <v>734</v>
      </c>
      <c r="I337" s="314" t="s">
        <v>459</v>
      </c>
      <c r="J337" s="315" t="s">
        <v>16</v>
      </c>
      <c r="K337" s="315" t="s">
        <v>463</v>
      </c>
      <c r="L337" s="315" t="s">
        <v>460</v>
      </c>
      <c r="M337" s="315" t="s">
        <v>18</v>
      </c>
      <c r="N337" s="315" t="s">
        <v>735</v>
      </c>
    </row>
    <row r="338" spans="1:14" ht="21" customHeight="1">
      <c r="A338" s="488" t="s">
        <v>1119</v>
      </c>
      <c r="B338" s="343"/>
      <c r="C338" s="316" t="s">
        <v>736</v>
      </c>
      <c r="D338" s="317">
        <v>351</v>
      </c>
      <c r="E338" s="318" t="s">
        <v>1084</v>
      </c>
      <c r="F338" s="318" t="s">
        <v>1080</v>
      </c>
      <c r="G338" s="318"/>
      <c r="H338" s="318" t="s">
        <v>1077</v>
      </c>
      <c r="I338" s="319" t="s">
        <v>737</v>
      </c>
      <c r="J338" s="320" t="s">
        <v>1294</v>
      </c>
      <c r="K338" s="321" t="s">
        <v>1295</v>
      </c>
      <c r="L338" s="320" t="s">
        <v>1293</v>
      </c>
      <c r="M338" s="321"/>
      <c r="N338" s="320"/>
    </row>
    <row r="339" spans="1:14" ht="21" customHeight="1">
      <c r="A339" s="489"/>
      <c r="B339" s="292" t="s">
        <v>1125</v>
      </c>
      <c r="C339" s="318" t="s">
        <v>738</v>
      </c>
      <c r="D339" s="317">
        <v>294</v>
      </c>
      <c r="E339" s="317"/>
      <c r="F339" s="318"/>
      <c r="G339" s="318"/>
      <c r="H339" s="318"/>
      <c r="I339" s="322" t="s">
        <v>739</v>
      </c>
      <c r="J339" s="323" t="s">
        <v>815</v>
      </c>
      <c r="K339" s="323" t="s">
        <v>815</v>
      </c>
      <c r="L339" s="323" t="s">
        <v>815</v>
      </c>
      <c r="M339" s="323" t="s">
        <v>815</v>
      </c>
      <c r="N339" s="324"/>
    </row>
    <row r="340" spans="1:14" ht="21" customHeight="1">
      <c r="A340" s="489"/>
      <c r="B340" s="292" t="s">
        <v>747</v>
      </c>
      <c r="C340" s="318" t="s">
        <v>740</v>
      </c>
      <c r="D340" s="318">
        <v>292</v>
      </c>
      <c r="E340" s="318"/>
      <c r="F340" s="318"/>
      <c r="G340" s="318"/>
      <c r="H340" s="318"/>
      <c r="I340" s="322" t="s">
        <v>741</v>
      </c>
      <c r="J340" s="325" t="s">
        <v>1055</v>
      </c>
      <c r="K340" s="325" t="s">
        <v>1056</v>
      </c>
      <c r="L340" s="325" t="s">
        <v>1056</v>
      </c>
      <c r="M340" s="326" t="s">
        <v>1058</v>
      </c>
      <c r="N340" s="323"/>
    </row>
    <row r="341" spans="1:14" ht="21" customHeight="1">
      <c r="A341" s="490"/>
      <c r="B341" s="293"/>
      <c r="C341" s="327" t="s">
        <v>742</v>
      </c>
      <c r="D341" s="328">
        <f>SUM(D338:D340)</f>
        <v>937</v>
      </c>
      <c r="E341" s="329"/>
      <c r="F341" s="329"/>
      <c r="G341" s="329"/>
      <c r="H341" s="329"/>
      <c r="I341" s="322" t="s">
        <v>743</v>
      </c>
      <c r="J341" s="325" t="s">
        <v>1059</v>
      </c>
      <c r="K341" s="326" t="s">
        <v>1057</v>
      </c>
      <c r="L341" s="326" t="s">
        <v>1057</v>
      </c>
      <c r="M341" s="326" t="s">
        <v>1057</v>
      </c>
      <c r="N341" s="323"/>
    </row>
    <row r="342" spans="1:14" ht="21" customHeight="1">
      <c r="A342" s="323" t="s">
        <v>744</v>
      </c>
      <c r="B342" s="330"/>
      <c r="C342" s="331"/>
      <c r="D342" s="332"/>
      <c r="E342" s="332"/>
      <c r="F342" s="332"/>
      <c r="G342" s="332" t="s">
        <v>1069</v>
      </c>
      <c r="H342" s="332"/>
      <c r="I342" s="322" t="s">
        <v>745</v>
      </c>
      <c r="J342" s="294" t="s">
        <v>749</v>
      </c>
      <c r="K342" s="294" t="s">
        <v>749</v>
      </c>
      <c r="L342" s="294" t="s">
        <v>749</v>
      </c>
      <c r="M342" s="294"/>
      <c r="N342" s="323"/>
    </row>
    <row r="343" spans="1:14" ht="21" customHeight="1">
      <c r="A343" s="491" t="s">
        <v>746</v>
      </c>
      <c r="B343" s="333" t="s">
        <v>1296</v>
      </c>
      <c r="C343" s="334"/>
      <c r="D343" s="334"/>
      <c r="E343" s="334"/>
      <c r="F343" s="334"/>
      <c r="G343" s="334"/>
      <c r="H343" s="334"/>
      <c r="I343" s="334"/>
      <c r="J343" s="335"/>
      <c r="K343" s="336"/>
      <c r="L343" s="336"/>
      <c r="M343" s="336"/>
      <c r="N343" s="309"/>
    </row>
    <row r="344" spans="1:14" ht="21" customHeight="1">
      <c r="A344" s="492"/>
      <c r="B344" s="307"/>
      <c r="C344" s="334"/>
      <c r="D344" s="334"/>
      <c r="E344" s="334"/>
      <c r="F344" s="334"/>
      <c r="G344" s="334"/>
      <c r="H344" s="334"/>
      <c r="I344" s="334"/>
      <c r="J344" s="334"/>
      <c r="K344" s="334"/>
      <c r="L344" s="334"/>
      <c r="M344" s="334"/>
      <c r="N344" s="337"/>
    </row>
    <row r="345" spans="1:14" ht="21" customHeight="1">
      <c r="A345" s="492"/>
      <c r="B345" s="307"/>
      <c r="C345" s="308"/>
      <c r="D345" s="308"/>
      <c r="E345" s="308"/>
      <c r="F345" s="308"/>
      <c r="G345" s="308"/>
      <c r="H345" s="308"/>
      <c r="I345" s="308"/>
      <c r="J345" s="308"/>
      <c r="K345" s="308"/>
      <c r="L345" s="308"/>
      <c r="M345" s="308"/>
      <c r="N345" s="309"/>
    </row>
    <row r="346" spans="1:14" ht="21" customHeight="1">
      <c r="A346" s="492"/>
      <c r="B346" s="307"/>
      <c r="C346" s="308"/>
      <c r="D346" s="308"/>
      <c r="E346" s="308"/>
      <c r="F346" s="308"/>
      <c r="G346" s="308"/>
      <c r="H346" s="308"/>
      <c r="I346" s="308"/>
      <c r="J346" s="308"/>
      <c r="K346" s="308"/>
      <c r="L346" s="308"/>
      <c r="M346" s="308"/>
      <c r="N346" s="309"/>
    </row>
    <row r="347" spans="1:14" ht="21" customHeight="1">
      <c r="A347" s="493"/>
      <c r="B347" s="338"/>
      <c r="C347" s="334"/>
      <c r="D347" s="334"/>
      <c r="E347" s="334"/>
      <c r="F347" s="334"/>
      <c r="G347" s="334"/>
      <c r="H347" s="334"/>
      <c r="I347" s="334"/>
      <c r="J347" s="334"/>
      <c r="K347" s="334"/>
      <c r="L347" s="334"/>
      <c r="M347" s="334"/>
      <c r="N347" s="339"/>
    </row>
    <row r="348" spans="1:14" ht="21" customHeight="1">
      <c r="A348" s="299"/>
      <c r="B348" s="300"/>
      <c r="C348" s="300"/>
      <c r="D348" s="300"/>
      <c r="E348" s="300"/>
      <c r="F348" s="300"/>
      <c r="G348" s="300"/>
      <c r="H348" s="300"/>
      <c r="I348" s="300"/>
      <c r="J348" s="300"/>
      <c r="K348" s="300"/>
      <c r="L348" s="300"/>
      <c r="M348" s="300"/>
      <c r="N348" s="300"/>
    </row>
    <row r="349" spans="1:14" ht="21" customHeight="1">
      <c r="A349" s="310" t="s">
        <v>727</v>
      </c>
      <c r="B349" s="310" t="s">
        <v>728</v>
      </c>
      <c r="C349" s="310" t="s">
        <v>729</v>
      </c>
      <c r="D349" s="311" t="s">
        <v>730</v>
      </c>
      <c r="E349" s="312" t="s">
        <v>731</v>
      </c>
      <c r="F349" s="313" t="s">
        <v>732</v>
      </c>
      <c r="G349" s="313" t="s">
        <v>733</v>
      </c>
      <c r="H349" s="313" t="s">
        <v>734</v>
      </c>
      <c r="I349" s="314" t="s">
        <v>459</v>
      </c>
      <c r="J349" s="315" t="s">
        <v>16</v>
      </c>
      <c r="K349" s="315" t="s">
        <v>463</v>
      </c>
      <c r="L349" s="315" t="s">
        <v>460</v>
      </c>
      <c r="M349" s="315" t="s">
        <v>18</v>
      </c>
      <c r="N349" s="315" t="s">
        <v>735</v>
      </c>
    </row>
    <row r="350" spans="1:14" ht="21" customHeight="1">
      <c r="A350" s="488" t="s">
        <v>1119</v>
      </c>
      <c r="B350" s="343"/>
      <c r="C350" s="316" t="s">
        <v>736</v>
      </c>
      <c r="D350" s="317">
        <v>95</v>
      </c>
      <c r="E350" s="318" t="s">
        <v>1092</v>
      </c>
      <c r="F350" s="318" t="s">
        <v>1133</v>
      </c>
      <c r="G350" s="318" t="s">
        <v>1092</v>
      </c>
      <c r="H350" s="318" t="s">
        <v>1079</v>
      </c>
      <c r="I350" s="319" t="s">
        <v>737</v>
      </c>
      <c r="J350" s="320" t="s">
        <v>1297</v>
      </c>
      <c r="K350" s="321"/>
      <c r="L350" s="320"/>
      <c r="M350" s="321" t="s">
        <v>1298</v>
      </c>
      <c r="N350" s="320"/>
    </row>
    <row r="351" spans="1:14" ht="21" customHeight="1">
      <c r="A351" s="489"/>
      <c r="B351" s="292" t="s">
        <v>1126</v>
      </c>
      <c r="C351" s="318" t="s">
        <v>738</v>
      </c>
      <c r="D351" s="317">
        <v>71</v>
      </c>
      <c r="E351" s="317"/>
      <c r="F351" s="318"/>
      <c r="G351" s="318"/>
      <c r="H351" s="318"/>
      <c r="I351" s="322" t="s">
        <v>739</v>
      </c>
      <c r="J351" s="323" t="s">
        <v>815</v>
      </c>
      <c r="K351" s="323" t="s">
        <v>815</v>
      </c>
      <c r="L351" s="323" t="s">
        <v>815</v>
      </c>
      <c r="M351" s="323" t="s">
        <v>815</v>
      </c>
      <c r="N351" s="324"/>
    </row>
    <row r="352" spans="1:14" ht="21" customHeight="1">
      <c r="A352" s="489"/>
      <c r="B352" s="292" t="s">
        <v>792</v>
      </c>
      <c r="C352" s="318" t="s">
        <v>740</v>
      </c>
      <c r="D352" s="318">
        <v>110</v>
      </c>
      <c r="E352" s="318"/>
      <c r="F352" s="318"/>
      <c r="G352" s="318"/>
      <c r="H352" s="318"/>
      <c r="I352" s="322" t="s">
        <v>741</v>
      </c>
      <c r="J352" s="325" t="s">
        <v>1055</v>
      </c>
      <c r="K352" s="325" t="s">
        <v>1056</v>
      </c>
      <c r="L352" s="325" t="s">
        <v>1056</v>
      </c>
      <c r="M352" s="326" t="s">
        <v>1058</v>
      </c>
      <c r="N352" s="323"/>
    </row>
    <row r="353" spans="1:14" ht="21" customHeight="1">
      <c r="A353" s="490"/>
      <c r="B353" s="293"/>
      <c r="C353" s="327" t="s">
        <v>742</v>
      </c>
      <c r="D353" s="328">
        <f>SUM(D350:D352)</f>
        <v>276</v>
      </c>
      <c r="E353" s="329"/>
      <c r="F353" s="329"/>
      <c r="G353" s="329"/>
      <c r="H353" s="329"/>
      <c r="I353" s="322" t="s">
        <v>743</v>
      </c>
      <c r="J353" s="325" t="s">
        <v>1059</v>
      </c>
      <c r="K353" s="326" t="s">
        <v>1057</v>
      </c>
      <c r="L353" s="326" t="s">
        <v>1057</v>
      </c>
      <c r="M353" s="326" t="s">
        <v>1057</v>
      </c>
      <c r="N353" s="323"/>
    </row>
    <row r="354" spans="1:14" ht="21" customHeight="1">
      <c r="A354" s="323" t="s">
        <v>744</v>
      </c>
      <c r="B354" s="330"/>
      <c r="C354" s="331"/>
      <c r="D354" s="332"/>
      <c r="E354" s="332"/>
      <c r="F354" s="332"/>
      <c r="G354" s="332"/>
      <c r="H354" s="332"/>
      <c r="I354" s="322" t="s">
        <v>745</v>
      </c>
      <c r="J354" s="294" t="s">
        <v>749</v>
      </c>
      <c r="K354" s="294" t="s">
        <v>749</v>
      </c>
      <c r="L354" s="294" t="s">
        <v>749</v>
      </c>
      <c r="M354" s="294"/>
      <c r="N354" s="323"/>
    </row>
    <row r="355" spans="1:14" ht="21" customHeight="1">
      <c r="A355" s="491" t="s">
        <v>746</v>
      </c>
      <c r="B355" s="333" t="s">
        <v>1299</v>
      </c>
      <c r="C355" s="334"/>
      <c r="D355" s="334"/>
      <c r="E355" s="334"/>
      <c r="F355" s="334"/>
      <c r="G355" s="334"/>
      <c r="H355" s="334"/>
      <c r="I355" s="334"/>
      <c r="J355" s="335"/>
      <c r="K355" s="336"/>
      <c r="L355" s="336"/>
      <c r="M355" s="336"/>
      <c r="N355" s="309"/>
    </row>
    <row r="356" spans="1:14" ht="21" customHeight="1">
      <c r="A356" s="492"/>
      <c r="B356" s="307" t="s">
        <v>1300</v>
      </c>
      <c r="C356" s="334"/>
      <c r="D356" s="334"/>
      <c r="E356" s="334"/>
      <c r="F356" s="334"/>
      <c r="G356" s="334"/>
      <c r="H356" s="334"/>
      <c r="I356" s="334"/>
      <c r="J356" s="334"/>
      <c r="K356" s="334"/>
      <c r="L356" s="334"/>
      <c r="M356" s="334"/>
      <c r="N356" s="337"/>
    </row>
    <row r="357" spans="1:14" ht="21" customHeight="1">
      <c r="A357" s="492"/>
      <c r="B357" s="307" t="s">
        <v>1301</v>
      </c>
      <c r="C357" s="308"/>
      <c r="D357" s="308"/>
      <c r="E357" s="308"/>
      <c r="F357" s="308"/>
      <c r="G357" s="308"/>
      <c r="H357" s="308"/>
      <c r="I357" s="308"/>
      <c r="J357" s="308"/>
      <c r="K357" s="308"/>
      <c r="L357" s="308"/>
      <c r="M357" s="308"/>
      <c r="N357" s="309"/>
    </row>
    <row r="358" spans="1:14" ht="21" customHeight="1">
      <c r="A358" s="492"/>
      <c r="B358" s="307"/>
      <c r="C358" s="308"/>
      <c r="D358" s="308"/>
      <c r="E358" s="308"/>
      <c r="F358" s="308"/>
      <c r="G358" s="308"/>
      <c r="H358" s="308"/>
      <c r="I358" s="308"/>
      <c r="J358" s="308"/>
      <c r="K358" s="308"/>
      <c r="L358" s="308"/>
      <c r="M358" s="308"/>
      <c r="N358" s="309"/>
    </row>
    <row r="359" spans="1:14" ht="21" customHeight="1">
      <c r="A359" s="493"/>
      <c r="B359" s="338"/>
      <c r="C359" s="334"/>
      <c r="D359" s="334"/>
      <c r="E359" s="334"/>
      <c r="F359" s="334"/>
      <c r="G359" s="334"/>
      <c r="H359" s="334"/>
      <c r="I359" s="334"/>
      <c r="J359" s="334"/>
      <c r="K359" s="334"/>
      <c r="L359" s="334"/>
      <c r="M359" s="334"/>
      <c r="N359" s="339"/>
    </row>
    <row r="360" spans="1:14" ht="21" customHeight="1">
      <c r="A360" s="299"/>
      <c r="B360" s="300"/>
      <c r="C360" s="300"/>
      <c r="D360" s="300"/>
      <c r="E360" s="300"/>
      <c r="F360" s="300"/>
      <c r="G360" s="300"/>
      <c r="H360" s="300"/>
      <c r="I360" s="300"/>
      <c r="J360" s="300"/>
      <c r="K360" s="300"/>
      <c r="L360" s="300"/>
      <c r="M360" s="300"/>
      <c r="N360" s="300"/>
    </row>
    <row r="361" spans="1:14" ht="21" customHeight="1">
      <c r="A361" s="310" t="s">
        <v>727</v>
      </c>
      <c r="B361" s="310" t="s">
        <v>728</v>
      </c>
      <c r="C361" s="310" t="s">
        <v>729</v>
      </c>
      <c r="D361" s="311" t="s">
        <v>730</v>
      </c>
      <c r="E361" s="312" t="s">
        <v>731</v>
      </c>
      <c r="F361" s="313" t="s">
        <v>732</v>
      </c>
      <c r="G361" s="313" t="s">
        <v>733</v>
      </c>
      <c r="H361" s="313" t="s">
        <v>734</v>
      </c>
      <c r="I361" s="314" t="s">
        <v>459</v>
      </c>
      <c r="J361" s="315" t="s">
        <v>16</v>
      </c>
      <c r="K361" s="315" t="s">
        <v>463</v>
      </c>
      <c r="L361" s="315" t="s">
        <v>460</v>
      </c>
      <c r="M361" s="315" t="s">
        <v>18</v>
      </c>
      <c r="N361" s="315" t="s">
        <v>735</v>
      </c>
    </row>
    <row r="362" spans="1:14" ht="21" customHeight="1">
      <c r="A362" s="488" t="s">
        <v>1119</v>
      </c>
      <c r="B362" s="343"/>
      <c r="C362" s="316" t="s">
        <v>736</v>
      </c>
      <c r="D362" s="317"/>
      <c r="E362" s="318" t="s">
        <v>1084</v>
      </c>
      <c r="F362" s="318"/>
      <c r="G362" s="318" t="s">
        <v>1104</v>
      </c>
      <c r="H362" s="318" t="s">
        <v>1101</v>
      </c>
      <c r="I362" s="319" t="s">
        <v>737</v>
      </c>
      <c r="J362" s="320"/>
      <c r="K362" s="321" t="s">
        <v>1302</v>
      </c>
      <c r="L362" s="320"/>
      <c r="M362" s="321" t="s">
        <v>1303</v>
      </c>
      <c r="N362" s="320"/>
    </row>
    <row r="363" spans="1:14" ht="21" customHeight="1">
      <c r="A363" s="489"/>
      <c r="B363" s="292" t="s">
        <v>1127</v>
      </c>
      <c r="C363" s="318" t="s">
        <v>738</v>
      </c>
      <c r="D363" s="317"/>
      <c r="E363" s="317"/>
      <c r="F363" s="318"/>
      <c r="G363" s="318"/>
      <c r="H363" s="318"/>
      <c r="I363" s="322" t="s">
        <v>739</v>
      </c>
      <c r="J363" s="323" t="s">
        <v>815</v>
      </c>
      <c r="K363" s="323" t="s">
        <v>815</v>
      </c>
      <c r="L363" s="323" t="s">
        <v>815</v>
      </c>
      <c r="M363" s="323" t="s">
        <v>815</v>
      </c>
      <c r="N363" s="324"/>
    </row>
    <row r="364" spans="1:14" ht="21" customHeight="1">
      <c r="A364" s="489"/>
      <c r="B364" s="292" t="s">
        <v>793</v>
      </c>
      <c r="C364" s="318" t="s">
        <v>740</v>
      </c>
      <c r="D364" s="318"/>
      <c r="E364" s="318"/>
      <c r="F364" s="318"/>
      <c r="G364" s="318"/>
      <c r="H364" s="318"/>
      <c r="I364" s="322" t="s">
        <v>741</v>
      </c>
      <c r="J364" s="325" t="s">
        <v>1055</v>
      </c>
      <c r="K364" s="325" t="s">
        <v>1056</v>
      </c>
      <c r="L364" s="325" t="s">
        <v>1056</v>
      </c>
      <c r="M364" s="326" t="s">
        <v>1058</v>
      </c>
      <c r="N364" s="323"/>
    </row>
    <row r="365" spans="1:14" ht="21" customHeight="1">
      <c r="A365" s="490"/>
      <c r="B365" s="293"/>
      <c r="C365" s="327" t="s">
        <v>742</v>
      </c>
      <c r="D365" s="328">
        <f>SUM(D362:D364)</f>
        <v>0</v>
      </c>
      <c r="E365" s="329"/>
      <c r="F365" s="329"/>
      <c r="G365" s="329"/>
      <c r="H365" s="329"/>
      <c r="I365" s="322" t="s">
        <v>743</v>
      </c>
      <c r="J365" s="325" t="s">
        <v>1059</v>
      </c>
      <c r="K365" s="326" t="s">
        <v>1057</v>
      </c>
      <c r="L365" s="326" t="s">
        <v>1057</v>
      </c>
      <c r="M365" s="326" t="s">
        <v>1057</v>
      </c>
      <c r="N365" s="323"/>
    </row>
    <row r="366" spans="1:14" ht="21" customHeight="1">
      <c r="A366" s="323" t="s">
        <v>744</v>
      </c>
      <c r="B366" s="330"/>
      <c r="C366" s="331"/>
      <c r="D366" s="332"/>
      <c r="E366" s="332"/>
      <c r="F366" s="332" t="s">
        <v>1069</v>
      </c>
      <c r="G366" s="332"/>
      <c r="H366" s="332"/>
      <c r="I366" s="322" t="s">
        <v>745</v>
      </c>
      <c r="J366" s="294" t="s">
        <v>749</v>
      </c>
      <c r="K366" s="294" t="s">
        <v>749</v>
      </c>
      <c r="L366" s="294" t="s">
        <v>749</v>
      </c>
      <c r="M366" s="294"/>
      <c r="N366" s="323"/>
    </row>
    <row r="367" spans="1:14" ht="21" customHeight="1">
      <c r="A367" s="491" t="s">
        <v>746</v>
      </c>
      <c r="B367" s="333" t="s">
        <v>1304</v>
      </c>
      <c r="C367" s="334"/>
      <c r="D367" s="334"/>
      <c r="E367" s="334"/>
      <c r="F367" s="334"/>
      <c r="G367" s="334"/>
      <c r="H367" s="334"/>
      <c r="I367" s="334"/>
      <c r="J367" s="335"/>
      <c r="K367" s="336"/>
      <c r="L367" s="336"/>
      <c r="M367" s="336"/>
      <c r="N367" s="309"/>
    </row>
    <row r="368" spans="1:14" ht="21" customHeight="1">
      <c r="A368" s="492"/>
      <c r="B368" s="307" t="s">
        <v>1305</v>
      </c>
      <c r="C368" s="334"/>
      <c r="D368" s="334"/>
      <c r="E368" s="334"/>
      <c r="F368" s="334"/>
      <c r="G368" s="334"/>
      <c r="H368" s="334"/>
      <c r="I368" s="334"/>
      <c r="J368" s="334"/>
      <c r="K368" s="334"/>
      <c r="L368" s="334"/>
      <c r="M368" s="334"/>
      <c r="N368" s="337"/>
    </row>
    <row r="369" spans="1:14" ht="21" customHeight="1">
      <c r="A369" s="492"/>
      <c r="B369" s="307"/>
      <c r="C369" s="308"/>
      <c r="D369" s="308"/>
      <c r="E369" s="308"/>
      <c r="F369" s="308"/>
      <c r="G369" s="308"/>
      <c r="H369" s="308"/>
      <c r="I369" s="308"/>
      <c r="J369" s="308"/>
      <c r="K369" s="308"/>
      <c r="L369" s="308"/>
      <c r="M369" s="308"/>
      <c r="N369" s="309"/>
    </row>
    <row r="370" spans="1:14" ht="21" customHeight="1">
      <c r="A370" s="492"/>
      <c r="B370" s="307"/>
      <c r="C370" s="308"/>
      <c r="D370" s="308"/>
      <c r="E370" s="308"/>
      <c r="F370" s="308"/>
      <c r="G370" s="308"/>
      <c r="H370" s="308"/>
      <c r="I370" s="308"/>
      <c r="J370" s="308"/>
      <c r="K370" s="308"/>
      <c r="L370" s="308"/>
      <c r="M370" s="308"/>
      <c r="N370" s="309"/>
    </row>
    <row r="371" spans="1:14" ht="21" customHeight="1">
      <c r="A371" s="493"/>
      <c r="B371" s="338"/>
      <c r="C371" s="334"/>
      <c r="D371" s="334"/>
      <c r="E371" s="334"/>
      <c r="F371" s="334"/>
      <c r="G371" s="334"/>
      <c r="H371" s="334"/>
      <c r="I371" s="334"/>
      <c r="J371" s="334"/>
      <c r="K371" s="334"/>
      <c r="L371" s="334"/>
      <c r="M371" s="334"/>
      <c r="N371" s="339"/>
    </row>
    <row r="372" spans="1:14" ht="21" customHeight="1">
      <c r="A372" s="299"/>
      <c r="B372" s="300"/>
      <c r="C372" s="300"/>
      <c r="D372" s="300"/>
      <c r="E372" s="300"/>
      <c r="F372" s="300"/>
      <c r="G372" s="300"/>
      <c r="H372" s="300"/>
      <c r="I372" s="300"/>
      <c r="J372" s="300"/>
      <c r="K372" s="300"/>
      <c r="L372" s="300"/>
      <c r="M372" s="300"/>
      <c r="N372" s="300"/>
    </row>
    <row r="373" spans="1:14" ht="21" customHeight="1">
      <c r="A373" s="310" t="s">
        <v>727</v>
      </c>
      <c r="B373" s="310" t="s">
        <v>728</v>
      </c>
      <c r="C373" s="310" t="s">
        <v>729</v>
      </c>
      <c r="D373" s="311" t="s">
        <v>730</v>
      </c>
      <c r="E373" s="312" t="s">
        <v>731</v>
      </c>
      <c r="F373" s="313" t="s">
        <v>732</v>
      </c>
      <c r="G373" s="313" t="s">
        <v>733</v>
      </c>
      <c r="H373" s="313" t="s">
        <v>734</v>
      </c>
      <c r="I373" s="314" t="s">
        <v>459</v>
      </c>
      <c r="J373" s="315" t="s">
        <v>16</v>
      </c>
      <c r="K373" s="315" t="s">
        <v>463</v>
      </c>
      <c r="L373" s="315" t="s">
        <v>460</v>
      </c>
      <c r="M373" s="315" t="s">
        <v>18</v>
      </c>
      <c r="N373" s="315" t="s">
        <v>735</v>
      </c>
    </row>
    <row r="374" spans="1:14" ht="21" customHeight="1">
      <c r="A374" s="488" t="s">
        <v>1119</v>
      </c>
      <c r="B374" s="343"/>
      <c r="C374" s="316" t="s">
        <v>736</v>
      </c>
      <c r="D374" s="317">
        <v>101</v>
      </c>
      <c r="E374" s="318" t="s">
        <v>1077</v>
      </c>
      <c r="F374" s="318"/>
      <c r="G374" s="318" t="s">
        <v>1134</v>
      </c>
      <c r="H374" s="318" t="s">
        <v>1079</v>
      </c>
      <c r="I374" s="319" t="s">
        <v>737</v>
      </c>
      <c r="J374" s="320" t="s">
        <v>1306</v>
      </c>
      <c r="K374" s="321" t="s">
        <v>1307</v>
      </c>
      <c r="L374" s="320" t="s">
        <v>1308</v>
      </c>
      <c r="M374" s="321" t="s">
        <v>1309</v>
      </c>
      <c r="N374" s="320"/>
    </row>
    <row r="375" spans="1:14" ht="21" customHeight="1">
      <c r="A375" s="489"/>
      <c r="B375" s="292" t="s">
        <v>1128</v>
      </c>
      <c r="C375" s="318" t="s">
        <v>738</v>
      </c>
      <c r="D375" s="317">
        <v>90</v>
      </c>
      <c r="E375" s="317"/>
      <c r="F375" s="318" t="s">
        <v>1201</v>
      </c>
      <c r="G375" s="318"/>
      <c r="H375" s="318"/>
      <c r="I375" s="322" t="s">
        <v>739</v>
      </c>
      <c r="J375" s="323" t="s">
        <v>815</v>
      </c>
      <c r="K375" s="323" t="s">
        <v>815</v>
      </c>
      <c r="L375" s="323" t="s">
        <v>815</v>
      </c>
      <c r="M375" s="323" t="s">
        <v>815</v>
      </c>
      <c r="N375" s="324"/>
    </row>
    <row r="376" spans="1:14" ht="21" customHeight="1">
      <c r="A376" s="489"/>
      <c r="B376" s="292" t="s">
        <v>747</v>
      </c>
      <c r="C376" s="318" t="s">
        <v>740</v>
      </c>
      <c r="D376" s="318">
        <v>96</v>
      </c>
      <c r="E376" s="318"/>
      <c r="F376" s="318"/>
      <c r="G376" s="318"/>
      <c r="H376" s="318"/>
      <c r="I376" s="322" t="s">
        <v>741</v>
      </c>
      <c r="J376" s="325" t="s">
        <v>1055</v>
      </c>
      <c r="K376" s="325" t="s">
        <v>1056</v>
      </c>
      <c r="L376" s="325" t="s">
        <v>1056</v>
      </c>
      <c r="M376" s="326" t="s">
        <v>1058</v>
      </c>
      <c r="N376" s="323"/>
    </row>
    <row r="377" spans="1:14" ht="21" customHeight="1">
      <c r="A377" s="490"/>
      <c r="B377" s="293"/>
      <c r="C377" s="327" t="s">
        <v>742</v>
      </c>
      <c r="D377" s="328">
        <f>SUM(D374:D376)</f>
        <v>287</v>
      </c>
      <c r="E377" s="329"/>
      <c r="F377" s="329"/>
      <c r="G377" s="329"/>
      <c r="H377" s="329"/>
      <c r="I377" s="322" t="s">
        <v>743</v>
      </c>
      <c r="J377" s="325" t="s">
        <v>1059</v>
      </c>
      <c r="K377" s="326" t="s">
        <v>1057</v>
      </c>
      <c r="L377" s="326" t="s">
        <v>1057</v>
      </c>
      <c r="M377" s="326" t="s">
        <v>1057</v>
      </c>
      <c r="N377" s="323"/>
    </row>
    <row r="378" spans="1:14" ht="21" customHeight="1">
      <c r="A378" s="323" t="s">
        <v>744</v>
      </c>
      <c r="B378" s="330" t="s">
        <v>1135</v>
      </c>
      <c r="C378" s="331"/>
      <c r="D378" s="332"/>
      <c r="E378" s="332"/>
      <c r="F378" s="332"/>
      <c r="G378" s="332"/>
      <c r="H378" s="332"/>
      <c r="I378" s="322" t="s">
        <v>745</v>
      </c>
      <c r="J378" s="294" t="s">
        <v>749</v>
      </c>
      <c r="K378" s="294" t="s">
        <v>749</v>
      </c>
      <c r="L378" s="294" t="s">
        <v>749</v>
      </c>
      <c r="M378" s="294"/>
      <c r="N378" s="323"/>
    </row>
    <row r="379" spans="1:14" ht="21" customHeight="1">
      <c r="A379" s="491" t="s">
        <v>746</v>
      </c>
      <c r="B379" s="333" t="s">
        <v>1310</v>
      </c>
      <c r="C379" s="334"/>
      <c r="D379" s="334"/>
      <c r="E379" s="334"/>
      <c r="F379" s="334"/>
      <c r="G379" s="334"/>
      <c r="H379" s="334"/>
      <c r="I379" s="334"/>
      <c r="J379" s="335"/>
      <c r="K379" s="336"/>
      <c r="L379" s="336"/>
      <c r="M379" s="336"/>
      <c r="N379" s="309"/>
    </row>
    <row r="380" spans="1:14" ht="21" customHeight="1">
      <c r="A380" s="492"/>
      <c r="B380" s="307" t="s">
        <v>1314</v>
      </c>
      <c r="C380" s="334"/>
      <c r="D380" s="334"/>
      <c r="E380" s="334"/>
      <c r="F380" s="334"/>
      <c r="G380" s="334"/>
      <c r="H380" s="334"/>
      <c r="I380" s="334"/>
      <c r="J380" s="334"/>
      <c r="K380" s="334"/>
      <c r="L380" s="334"/>
      <c r="M380" s="334"/>
      <c r="N380" s="337"/>
    </row>
    <row r="381" spans="1:14" ht="21" customHeight="1">
      <c r="A381" s="492"/>
      <c r="B381" s="307" t="s">
        <v>1311</v>
      </c>
      <c r="C381" s="308"/>
      <c r="D381" s="308"/>
      <c r="E381" s="308"/>
      <c r="F381" s="308"/>
      <c r="G381" s="308"/>
      <c r="H381" s="308"/>
      <c r="I381" s="308"/>
      <c r="J381" s="308"/>
      <c r="K381" s="308"/>
      <c r="L381" s="308"/>
      <c r="M381" s="308"/>
      <c r="N381" s="309"/>
    </row>
    <row r="382" spans="1:14" ht="21" customHeight="1">
      <c r="A382" s="492"/>
      <c r="B382" s="307" t="s">
        <v>1315</v>
      </c>
      <c r="C382" s="308"/>
      <c r="D382" s="308"/>
      <c r="E382" s="308"/>
      <c r="F382" s="308"/>
      <c r="G382" s="308"/>
      <c r="H382" s="308"/>
      <c r="I382" s="308"/>
      <c r="J382" s="308"/>
      <c r="K382" s="308"/>
      <c r="L382" s="308"/>
      <c r="M382" s="308"/>
      <c r="N382" s="309"/>
    </row>
    <row r="383" spans="1:14" ht="21" customHeight="1">
      <c r="A383" s="492"/>
      <c r="B383" s="307" t="s">
        <v>1312</v>
      </c>
      <c r="C383" s="308"/>
      <c r="D383" s="308"/>
      <c r="E383" s="308"/>
      <c r="F383" s="308"/>
      <c r="G383" s="308"/>
      <c r="H383" s="308"/>
      <c r="I383" s="308"/>
      <c r="J383" s="308"/>
      <c r="K383" s="308"/>
      <c r="L383" s="308"/>
      <c r="M383" s="308"/>
      <c r="N383" s="309"/>
    </row>
    <row r="384" spans="1:14" ht="21" customHeight="1">
      <c r="A384" s="493"/>
      <c r="B384" s="338" t="s">
        <v>1313</v>
      </c>
      <c r="C384" s="334"/>
      <c r="D384" s="334"/>
      <c r="E384" s="334"/>
      <c r="F384" s="334"/>
      <c r="G384" s="334"/>
      <c r="H384" s="334"/>
      <c r="I384" s="334"/>
      <c r="J384" s="334"/>
      <c r="K384" s="334"/>
      <c r="L384" s="334"/>
      <c r="M384" s="334"/>
      <c r="N384" s="339"/>
    </row>
    <row r="385" spans="1:14" ht="21" customHeight="1">
      <c r="A385" s="299"/>
      <c r="B385" s="300"/>
      <c r="C385" s="300"/>
      <c r="D385" s="300"/>
      <c r="E385" s="300"/>
      <c r="F385" s="300"/>
      <c r="G385" s="300"/>
      <c r="H385" s="300"/>
      <c r="I385" s="300"/>
      <c r="J385" s="300"/>
      <c r="K385" s="300"/>
      <c r="L385" s="300"/>
      <c r="M385" s="300"/>
      <c r="N385" s="300"/>
    </row>
    <row r="386" spans="1:14" ht="21" customHeight="1">
      <c r="A386" s="299"/>
      <c r="B386" s="300"/>
      <c r="C386" s="300"/>
      <c r="D386" s="300"/>
      <c r="E386" s="300"/>
      <c r="F386" s="300"/>
      <c r="G386" s="300"/>
      <c r="H386" s="300"/>
      <c r="I386" s="300"/>
      <c r="J386" s="300"/>
      <c r="K386" s="300"/>
      <c r="L386" s="300"/>
      <c r="M386" s="300"/>
      <c r="N386" s="300"/>
    </row>
    <row r="387" spans="1:14" ht="21" customHeight="1">
      <c r="A387" s="310" t="s">
        <v>727</v>
      </c>
      <c r="B387" s="310" t="s">
        <v>728</v>
      </c>
      <c r="C387" s="310" t="s">
        <v>729</v>
      </c>
      <c r="D387" s="311" t="s">
        <v>730</v>
      </c>
      <c r="E387" s="312" t="s">
        <v>731</v>
      </c>
      <c r="F387" s="313" t="s">
        <v>732</v>
      </c>
      <c r="G387" s="313" t="s">
        <v>733</v>
      </c>
      <c r="H387" s="313" t="s">
        <v>734</v>
      </c>
      <c r="I387" s="314" t="s">
        <v>459</v>
      </c>
      <c r="J387" s="315" t="s">
        <v>16</v>
      </c>
      <c r="K387" s="315" t="s">
        <v>463</v>
      </c>
      <c r="L387" s="315" t="s">
        <v>460</v>
      </c>
      <c r="M387" s="315" t="s">
        <v>18</v>
      </c>
      <c r="N387" s="315" t="s">
        <v>735</v>
      </c>
    </row>
    <row r="388" spans="1:14" ht="21" customHeight="1">
      <c r="A388" s="488" t="s">
        <v>1119</v>
      </c>
      <c r="B388" s="343"/>
      <c r="C388" s="316" t="s">
        <v>736</v>
      </c>
      <c r="D388" s="317">
        <v>274</v>
      </c>
      <c r="E388" s="318"/>
      <c r="F388" s="318" t="s">
        <v>1067</v>
      </c>
      <c r="G388" s="318"/>
      <c r="H388" s="318" t="s">
        <v>1089</v>
      </c>
      <c r="I388" s="319" t="s">
        <v>737</v>
      </c>
      <c r="J388" s="320" t="s">
        <v>1316</v>
      </c>
      <c r="K388" s="321" t="s">
        <v>1317</v>
      </c>
      <c r="L388" s="320" t="s">
        <v>1318</v>
      </c>
      <c r="M388" s="321" t="s">
        <v>1319</v>
      </c>
      <c r="N388" s="320"/>
    </row>
    <row r="389" spans="1:14" ht="21" customHeight="1">
      <c r="A389" s="489"/>
      <c r="B389" s="292" t="s">
        <v>1129</v>
      </c>
      <c r="C389" s="318" t="s">
        <v>738</v>
      </c>
      <c r="D389" s="317">
        <v>279</v>
      </c>
      <c r="E389" s="317"/>
      <c r="F389" s="318"/>
      <c r="G389" s="318"/>
      <c r="H389" s="318"/>
      <c r="I389" s="322" t="s">
        <v>739</v>
      </c>
      <c r="J389" s="323" t="s">
        <v>815</v>
      </c>
      <c r="K389" s="323" t="s">
        <v>815</v>
      </c>
      <c r="L389" s="323" t="s">
        <v>815</v>
      </c>
      <c r="M389" s="323" t="s">
        <v>815</v>
      </c>
      <c r="N389" s="324"/>
    </row>
    <row r="390" spans="1:14" ht="21" customHeight="1">
      <c r="A390" s="489"/>
      <c r="B390" s="292" t="s">
        <v>747</v>
      </c>
      <c r="C390" s="318" t="s">
        <v>740</v>
      </c>
      <c r="D390" s="318">
        <v>267</v>
      </c>
      <c r="E390" s="318"/>
      <c r="F390" s="318"/>
      <c r="G390" s="318"/>
      <c r="H390" s="318"/>
      <c r="I390" s="322" t="s">
        <v>741</v>
      </c>
      <c r="J390" s="325" t="s">
        <v>1055</v>
      </c>
      <c r="K390" s="325" t="s">
        <v>1056</v>
      </c>
      <c r="L390" s="325" t="s">
        <v>1056</v>
      </c>
      <c r="M390" s="326" t="s">
        <v>1058</v>
      </c>
      <c r="N390" s="323"/>
    </row>
    <row r="391" spans="1:14" ht="21" customHeight="1">
      <c r="A391" s="490"/>
      <c r="B391" s="293"/>
      <c r="C391" s="327" t="s">
        <v>742</v>
      </c>
      <c r="D391" s="328">
        <f>SUM(D388:D390)</f>
        <v>820</v>
      </c>
      <c r="E391" s="329"/>
      <c r="F391" s="329"/>
      <c r="G391" s="329"/>
      <c r="H391" s="329"/>
      <c r="I391" s="322" t="s">
        <v>743</v>
      </c>
      <c r="J391" s="325" t="s">
        <v>1059</v>
      </c>
      <c r="K391" s="326" t="s">
        <v>1057</v>
      </c>
      <c r="L391" s="326" t="s">
        <v>1057</v>
      </c>
      <c r="M391" s="326" t="s">
        <v>1057</v>
      </c>
      <c r="N391" s="323"/>
    </row>
    <row r="392" spans="1:14" ht="21" customHeight="1">
      <c r="A392" s="323" t="s">
        <v>744</v>
      </c>
      <c r="B392" s="330"/>
      <c r="C392" s="331"/>
      <c r="D392" s="332"/>
      <c r="E392" s="332" t="s">
        <v>1069</v>
      </c>
      <c r="F392" s="332"/>
      <c r="G392" s="332" t="s">
        <v>1069</v>
      </c>
      <c r="H392" s="332"/>
      <c r="I392" s="322" t="s">
        <v>745</v>
      </c>
      <c r="J392" s="294" t="s">
        <v>749</v>
      </c>
      <c r="K392" s="294" t="s">
        <v>749</v>
      </c>
      <c r="L392" s="294" t="s">
        <v>749</v>
      </c>
      <c r="M392" s="294"/>
      <c r="N392" s="323"/>
    </row>
    <row r="393" spans="1:14" ht="21" customHeight="1">
      <c r="A393" s="491" t="s">
        <v>746</v>
      </c>
      <c r="B393" s="333" t="s">
        <v>1320</v>
      </c>
      <c r="C393" s="334"/>
      <c r="D393" s="334"/>
      <c r="E393" s="334"/>
      <c r="F393" s="334"/>
      <c r="G393" s="334"/>
      <c r="H393" s="334"/>
      <c r="I393" s="334"/>
      <c r="J393" s="335"/>
      <c r="K393" s="336"/>
      <c r="L393" s="336"/>
      <c r="M393" s="336"/>
      <c r="N393" s="309"/>
    </row>
    <row r="394" spans="1:14" ht="21" customHeight="1">
      <c r="A394" s="492"/>
      <c r="B394" s="307" t="s">
        <v>1321</v>
      </c>
      <c r="C394" s="334"/>
      <c r="D394" s="334"/>
      <c r="E394" s="334"/>
      <c r="F394" s="334"/>
      <c r="G394" s="334"/>
      <c r="H394" s="334"/>
      <c r="I394" s="334"/>
      <c r="J394" s="334"/>
      <c r="K394" s="334"/>
      <c r="L394" s="334"/>
      <c r="M394" s="334"/>
      <c r="N394" s="337"/>
    </row>
    <row r="395" spans="1:14" ht="21" customHeight="1">
      <c r="A395" s="492"/>
      <c r="B395" s="307"/>
      <c r="C395" s="308"/>
      <c r="D395" s="308"/>
      <c r="E395" s="308"/>
      <c r="F395" s="308"/>
      <c r="G395" s="308"/>
      <c r="H395" s="308"/>
      <c r="I395" s="308"/>
      <c r="J395" s="308"/>
      <c r="K395" s="308"/>
      <c r="L395" s="308"/>
      <c r="M395" s="308"/>
      <c r="N395" s="309"/>
    </row>
    <row r="396" spans="1:14" ht="21" customHeight="1">
      <c r="A396" s="492"/>
      <c r="B396" s="307"/>
      <c r="C396" s="308"/>
      <c r="D396" s="308"/>
      <c r="E396" s="308"/>
      <c r="F396" s="308"/>
      <c r="G396" s="308"/>
      <c r="H396" s="308"/>
      <c r="I396" s="308"/>
      <c r="J396" s="308"/>
      <c r="K396" s="308"/>
      <c r="L396" s="308"/>
      <c r="M396" s="308"/>
      <c r="N396" s="309"/>
    </row>
    <row r="397" spans="1:14" ht="21" customHeight="1">
      <c r="A397" s="493"/>
      <c r="B397" s="338"/>
      <c r="C397" s="334"/>
      <c r="D397" s="334"/>
      <c r="E397" s="334"/>
      <c r="F397" s="334"/>
      <c r="G397" s="334"/>
      <c r="H397" s="334"/>
      <c r="I397" s="334"/>
      <c r="J397" s="334"/>
      <c r="K397" s="334"/>
      <c r="L397" s="334"/>
      <c r="M397" s="334"/>
      <c r="N397" s="339"/>
    </row>
    <row r="398" spans="1:14" ht="21" customHeight="1">
      <c r="A398" s="299"/>
      <c r="B398" s="300"/>
      <c r="C398" s="300"/>
      <c r="D398" s="300"/>
      <c r="E398" s="300"/>
      <c r="F398" s="300"/>
      <c r="G398" s="300"/>
      <c r="H398" s="300"/>
      <c r="I398" s="300"/>
      <c r="J398" s="300"/>
      <c r="K398" s="300"/>
      <c r="L398" s="300"/>
      <c r="M398" s="300"/>
      <c r="N398" s="300"/>
    </row>
    <row r="399" spans="1:14" ht="21" customHeight="1">
      <c r="A399" s="310" t="s">
        <v>727</v>
      </c>
      <c r="B399" s="310" t="s">
        <v>728</v>
      </c>
      <c r="C399" s="310" t="s">
        <v>729</v>
      </c>
      <c r="D399" s="311" t="s">
        <v>730</v>
      </c>
      <c r="E399" s="312" t="s">
        <v>731</v>
      </c>
      <c r="F399" s="313" t="s">
        <v>732</v>
      </c>
      <c r="G399" s="313" t="s">
        <v>733</v>
      </c>
      <c r="H399" s="313" t="s">
        <v>734</v>
      </c>
      <c r="I399" s="314" t="s">
        <v>459</v>
      </c>
      <c r="J399" s="315" t="s">
        <v>16</v>
      </c>
      <c r="K399" s="315" t="s">
        <v>463</v>
      </c>
      <c r="L399" s="315" t="s">
        <v>460</v>
      </c>
      <c r="M399" s="315" t="s">
        <v>18</v>
      </c>
      <c r="N399" s="315" t="s">
        <v>735</v>
      </c>
    </row>
    <row r="400" spans="1:14" ht="21" customHeight="1">
      <c r="A400" s="488" t="s">
        <v>1119</v>
      </c>
      <c r="B400" s="343"/>
      <c r="C400" s="316" t="s">
        <v>736</v>
      </c>
      <c r="D400" s="317">
        <v>259</v>
      </c>
      <c r="E400" s="318"/>
      <c r="F400" s="318" t="s">
        <v>1088</v>
      </c>
      <c r="G400" s="318"/>
      <c r="H400" s="318" t="s">
        <v>1079</v>
      </c>
      <c r="I400" s="319" t="s">
        <v>737</v>
      </c>
      <c r="J400" s="320" t="s">
        <v>1322</v>
      </c>
      <c r="K400" s="321"/>
      <c r="L400" s="320" t="s">
        <v>1323</v>
      </c>
      <c r="M400" s="321"/>
      <c r="N400" s="320"/>
    </row>
    <row r="401" spans="1:14" ht="21" customHeight="1">
      <c r="A401" s="489"/>
      <c r="B401" s="292" t="s">
        <v>1130</v>
      </c>
      <c r="C401" s="318" t="s">
        <v>738</v>
      </c>
      <c r="D401" s="317">
        <v>275</v>
      </c>
      <c r="E401" s="317"/>
      <c r="F401" s="318"/>
      <c r="G401" s="318"/>
      <c r="H401" s="318"/>
      <c r="I401" s="322" t="s">
        <v>739</v>
      </c>
      <c r="J401" s="323" t="s">
        <v>815</v>
      </c>
      <c r="K401" s="323" t="s">
        <v>815</v>
      </c>
      <c r="L401" s="323" t="s">
        <v>815</v>
      </c>
      <c r="M401" s="323" t="s">
        <v>815</v>
      </c>
      <c r="N401" s="324"/>
    </row>
    <row r="402" spans="1:14" ht="21" customHeight="1">
      <c r="A402" s="489"/>
      <c r="B402" s="292" t="s">
        <v>747</v>
      </c>
      <c r="C402" s="318" t="s">
        <v>740</v>
      </c>
      <c r="D402" s="318">
        <v>277</v>
      </c>
      <c r="E402" s="318"/>
      <c r="F402" s="318"/>
      <c r="G402" s="318"/>
      <c r="H402" s="318"/>
      <c r="I402" s="322" t="s">
        <v>741</v>
      </c>
      <c r="J402" s="325" t="s">
        <v>1055</v>
      </c>
      <c r="K402" s="325" t="s">
        <v>1056</v>
      </c>
      <c r="L402" s="325" t="s">
        <v>1056</v>
      </c>
      <c r="M402" s="326" t="s">
        <v>1058</v>
      </c>
      <c r="N402" s="323"/>
    </row>
    <row r="403" spans="1:14" ht="21" customHeight="1">
      <c r="A403" s="490"/>
      <c r="B403" s="293"/>
      <c r="C403" s="327" t="s">
        <v>742</v>
      </c>
      <c r="D403" s="328">
        <f>SUM(D400:D402)</f>
        <v>811</v>
      </c>
      <c r="E403" s="329"/>
      <c r="F403" s="329"/>
      <c r="G403" s="329"/>
      <c r="H403" s="329"/>
      <c r="I403" s="322" t="s">
        <v>743</v>
      </c>
      <c r="J403" s="325" t="s">
        <v>1059</v>
      </c>
      <c r="K403" s="326" t="s">
        <v>1057</v>
      </c>
      <c r="L403" s="326" t="s">
        <v>1057</v>
      </c>
      <c r="M403" s="326" t="s">
        <v>1057</v>
      </c>
      <c r="N403" s="323"/>
    </row>
    <row r="404" spans="1:14" ht="21" customHeight="1">
      <c r="A404" s="323" t="s">
        <v>744</v>
      </c>
      <c r="B404" s="330"/>
      <c r="C404" s="331"/>
      <c r="D404" s="332"/>
      <c r="E404" s="332" t="s">
        <v>1069</v>
      </c>
      <c r="F404" s="332"/>
      <c r="G404" s="332" t="s">
        <v>1069</v>
      </c>
      <c r="H404" s="332"/>
      <c r="I404" s="322" t="s">
        <v>745</v>
      </c>
      <c r="J404" s="294" t="s">
        <v>749</v>
      </c>
      <c r="K404" s="294" t="s">
        <v>749</v>
      </c>
      <c r="L404" s="294" t="s">
        <v>749</v>
      </c>
      <c r="M404" s="294"/>
      <c r="N404" s="323"/>
    </row>
    <row r="405" spans="1:14" ht="21" customHeight="1">
      <c r="A405" s="491" t="s">
        <v>746</v>
      </c>
      <c r="B405" s="333" t="s">
        <v>1324</v>
      </c>
      <c r="C405" s="334"/>
      <c r="D405" s="334"/>
      <c r="E405" s="334"/>
      <c r="F405" s="334"/>
      <c r="G405" s="334"/>
      <c r="H405" s="334"/>
      <c r="I405" s="334"/>
      <c r="J405" s="335"/>
      <c r="K405" s="336"/>
      <c r="L405" s="336"/>
      <c r="M405" s="336"/>
      <c r="N405" s="309"/>
    </row>
    <row r="406" spans="1:14" ht="21" customHeight="1">
      <c r="A406" s="492"/>
      <c r="B406" s="307" t="s">
        <v>1325</v>
      </c>
      <c r="C406" s="334"/>
      <c r="D406" s="334"/>
      <c r="E406" s="334"/>
      <c r="F406" s="334"/>
      <c r="G406" s="334"/>
      <c r="H406" s="334"/>
      <c r="I406" s="334"/>
      <c r="J406" s="334"/>
      <c r="K406" s="334"/>
      <c r="L406" s="334"/>
      <c r="M406" s="334"/>
      <c r="N406" s="337"/>
    </row>
    <row r="407" spans="1:14" ht="21" customHeight="1">
      <c r="A407" s="492"/>
      <c r="B407" s="307" t="s">
        <v>1326</v>
      </c>
      <c r="C407" s="308"/>
      <c r="D407" s="308"/>
      <c r="E407" s="308"/>
      <c r="F407" s="308"/>
      <c r="G407" s="308"/>
      <c r="H407" s="308"/>
      <c r="I407" s="308"/>
      <c r="J407" s="308"/>
      <c r="K407" s="308"/>
      <c r="L407" s="308"/>
      <c r="M407" s="308"/>
      <c r="N407" s="309"/>
    </row>
    <row r="408" spans="1:14" ht="21" customHeight="1">
      <c r="A408" s="492"/>
      <c r="B408" s="307"/>
      <c r="C408" s="308"/>
      <c r="D408" s="308"/>
      <c r="E408" s="308"/>
      <c r="F408" s="308"/>
      <c r="G408" s="308"/>
      <c r="H408" s="308"/>
      <c r="I408" s="308"/>
      <c r="J408" s="308"/>
      <c r="K408" s="308"/>
      <c r="L408" s="308"/>
      <c r="M408" s="308"/>
      <c r="N408" s="309"/>
    </row>
    <row r="409" spans="1:14" ht="21" customHeight="1">
      <c r="A409" s="493"/>
      <c r="B409" s="338"/>
      <c r="C409" s="334"/>
      <c r="D409" s="334"/>
      <c r="E409" s="334"/>
      <c r="F409" s="334"/>
      <c r="G409" s="334"/>
      <c r="H409" s="334"/>
      <c r="I409" s="334"/>
      <c r="J409" s="334"/>
      <c r="K409" s="334"/>
      <c r="L409" s="334"/>
      <c r="M409" s="334"/>
      <c r="N409" s="339"/>
    </row>
    <row r="410" spans="1:14" ht="21" customHeight="1">
      <c r="A410" s="299"/>
      <c r="B410" s="300"/>
      <c r="C410" s="300"/>
      <c r="D410" s="300"/>
      <c r="E410" s="300"/>
      <c r="F410" s="300"/>
      <c r="G410" s="300"/>
      <c r="H410" s="300"/>
      <c r="I410" s="300"/>
      <c r="J410" s="300"/>
      <c r="K410" s="300"/>
      <c r="L410" s="300"/>
      <c r="M410" s="300"/>
      <c r="N410" s="300"/>
    </row>
    <row r="411" spans="1:14" ht="21" customHeight="1">
      <c r="A411" s="299"/>
      <c r="B411" s="300"/>
      <c r="C411" s="300"/>
      <c r="D411" s="300"/>
      <c r="E411" s="300"/>
      <c r="F411" s="300"/>
      <c r="G411" s="300"/>
      <c r="H411" s="300"/>
      <c r="I411" s="300"/>
      <c r="J411" s="300"/>
      <c r="K411" s="300"/>
      <c r="L411" s="300"/>
      <c r="M411" s="300"/>
      <c r="N411" s="300"/>
    </row>
    <row r="412" spans="1:14" ht="21" customHeight="1">
      <c r="A412" s="310" t="s">
        <v>727</v>
      </c>
      <c r="B412" s="310" t="s">
        <v>728</v>
      </c>
      <c r="C412" s="310" t="s">
        <v>729</v>
      </c>
      <c r="D412" s="311" t="s">
        <v>730</v>
      </c>
      <c r="E412" s="312" t="s">
        <v>731</v>
      </c>
      <c r="F412" s="313" t="s">
        <v>732</v>
      </c>
      <c r="G412" s="313" t="s">
        <v>733</v>
      </c>
      <c r="H412" s="313" t="s">
        <v>734</v>
      </c>
      <c r="I412" s="314" t="s">
        <v>459</v>
      </c>
      <c r="J412" s="315" t="s">
        <v>16</v>
      </c>
      <c r="K412" s="315" t="s">
        <v>463</v>
      </c>
      <c r="L412" s="315" t="s">
        <v>460</v>
      </c>
      <c r="M412" s="315" t="s">
        <v>18</v>
      </c>
      <c r="N412" s="315" t="s">
        <v>735</v>
      </c>
    </row>
    <row r="413" spans="1:14" ht="21" customHeight="1">
      <c r="A413" s="488" t="s">
        <v>1061</v>
      </c>
      <c r="B413" s="343"/>
      <c r="C413" s="316" t="s">
        <v>736</v>
      </c>
      <c r="D413" s="317">
        <v>280</v>
      </c>
      <c r="E413" s="318"/>
      <c r="F413" s="318" t="s">
        <v>1080</v>
      </c>
      <c r="G413" s="318" t="s">
        <v>1084</v>
      </c>
      <c r="H413" s="318" t="s">
        <v>1089</v>
      </c>
      <c r="I413" s="319" t="s">
        <v>737</v>
      </c>
      <c r="J413" s="320" t="s">
        <v>1327</v>
      </c>
      <c r="K413" s="321" t="s">
        <v>1328</v>
      </c>
      <c r="L413" s="320"/>
      <c r="M413" s="321" t="s">
        <v>1329</v>
      </c>
      <c r="N413" s="320"/>
    </row>
    <row r="414" spans="1:14" ht="21" customHeight="1">
      <c r="A414" s="489"/>
      <c r="B414" s="292" t="s">
        <v>1131</v>
      </c>
      <c r="C414" s="318" t="s">
        <v>738</v>
      </c>
      <c r="D414" s="317">
        <v>256</v>
      </c>
      <c r="E414" s="317"/>
      <c r="F414" s="318"/>
      <c r="G414" s="318"/>
      <c r="H414" s="318"/>
      <c r="I414" s="322" t="s">
        <v>739</v>
      </c>
      <c r="J414" s="323" t="s">
        <v>815</v>
      </c>
      <c r="K414" s="323" t="s">
        <v>815</v>
      </c>
      <c r="L414" s="323" t="s">
        <v>815</v>
      </c>
      <c r="M414" s="323" t="s">
        <v>815</v>
      </c>
      <c r="N414" s="324"/>
    </row>
    <row r="415" spans="1:14" ht="21" customHeight="1">
      <c r="A415" s="489"/>
      <c r="B415" s="292" t="s">
        <v>747</v>
      </c>
      <c r="C415" s="318" t="s">
        <v>740</v>
      </c>
      <c r="D415" s="318">
        <v>275</v>
      </c>
      <c r="E415" s="318"/>
      <c r="F415" s="318"/>
      <c r="G415" s="318"/>
      <c r="H415" s="318"/>
      <c r="I415" s="322" t="s">
        <v>741</v>
      </c>
      <c r="J415" s="325" t="s">
        <v>1055</v>
      </c>
      <c r="K415" s="325" t="s">
        <v>1056</v>
      </c>
      <c r="L415" s="325" t="s">
        <v>1056</v>
      </c>
      <c r="M415" s="326" t="s">
        <v>1058</v>
      </c>
      <c r="N415" s="323"/>
    </row>
    <row r="416" spans="1:14" ht="21" customHeight="1">
      <c r="A416" s="490"/>
      <c r="B416" s="293"/>
      <c r="C416" s="327" t="s">
        <v>742</v>
      </c>
      <c r="D416" s="328">
        <f>SUM(D413:D415)</f>
        <v>811</v>
      </c>
      <c r="E416" s="329"/>
      <c r="F416" s="329"/>
      <c r="G416" s="329"/>
      <c r="H416" s="329"/>
      <c r="I416" s="322" t="s">
        <v>743</v>
      </c>
      <c r="J416" s="325" t="s">
        <v>1059</v>
      </c>
      <c r="K416" s="326" t="s">
        <v>1057</v>
      </c>
      <c r="L416" s="326" t="s">
        <v>1057</v>
      </c>
      <c r="M416" s="326" t="s">
        <v>1057</v>
      </c>
      <c r="N416" s="323"/>
    </row>
    <row r="417" spans="1:14" ht="21" customHeight="1">
      <c r="A417" s="323" t="s">
        <v>744</v>
      </c>
      <c r="B417" s="330"/>
      <c r="C417" s="331"/>
      <c r="D417" s="332"/>
      <c r="E417" s="332" t="s">
        <v>1069</v>
      </c>
      <c r="F417" s="332"/>
      <c r="G417" s="332"/>
      <c r="H417" s="332"/>
      <c r="I417" s="322" t="s">
        <v>745</v>
      </c>
      <c r="J417" s="294" t="s">
        <v>749</v>
      </c>
      <c r="K417" s="294" t="s">
        <v>749</v>
      </c>
      <c r="L417" s="294" t="s">
        <v>749</v>
      </c>
      <c r="M417" s="294"/>
      <c r="N417" s="323"/>
    </row>
    <row r="418" spans="1:14" ht="21" customHeight="1">
      <c r="A418" s="491" t="s">
        <v>746</v>
      </c>
      <c r="B418" s="333" t="s">
        <v>1330</v>
      </c>
      <c r="C418" s="334"/>
      <c r="D418" s="334"/>
      <c r="E418" s="334"/>
      <c r="F418" s="334"/>
      <c r="G418" s="334"/>
      <c r="H418" s="334"/>
      <c r="I418" s="334"/>
      <c r="J418" s="335"/>
      <c r="K418" s="336"/>
      <c r="L418" s="336"/>
      <c r="M418" s="336"/>
      <c r="N418" s="309"/>
    </row>
    <row r="419" spans="1:14" ht="21" customHeight="1">
      <c r="A419" s="492"/>
      <c r="B419" s="307" t="s">
        <v>1331</v>
      </c>
      <c r="C419" s="334"/>
      <c r="D419" s="334"/>
      <c r="E419" s="334"/>
      <c r="F419" s="334"/>
      <c r="G419" s="334"/>
      <c r="H419" s="334"/>
      <c r="I419" s="334"/>
      <c r="J419" s="334"/>
      <c r="K419" s="334"/>
      <c r="L419" s="334"/>
      <c r="M419" s="334"/>
      <c r="N419" s="337"/>
    </row>
    <row r="420" spans="1:14" ht="21" customHeight="1">
      <c r="A420" s="492"/>
      <c r="B420" s="307" t="s">
        <v>1332</v>
      </c>
      <c r="C420" s="308"/>
      <c r="D420" s="308"/>
      <c r="E420" s="308"/>
      <c r="F420" s="308"/>
      <c r="G420" s="308"/>
      <c r="H420" s="308"/>
      <c r="I420" s="308"/>
      <c r="J420" s="308"/>
      <c r="K420" s="308"/>
      <c r="L420" s="308"/>
      <c r="M420" s="308"/>
      <c r="N420" s="309"/>
    </row>
    <row r="421" spans="1:14" ht="21" customHeight="1">
      <c r="A421" s="492"/>
      <c r="B421" s="307"/>
      <c r="C421" s="308"/>
      <c r="D421" s="308"/>
      <c r="E421" s="308"/>
      <c r="F421" s="308"/>
      <c r="G421" s="308"/>
      <c r="H421" s="308"/>
      <c r="I421" s="308"/>
      <c r="J421" s="308"/>
      <c r="K421" s="308"/>
      <c r="L421" s="308"/>
      <c r="M421" s="308"/>
      <c r="N421" s="309"/>
    </row>
    <row r="422" spans="1:14" ht="21" customHeight="1">
      <c r="A422" s="493"/>
      <c r="B422" s="338"/>
      <c r="C422" s="334"/>
      <c r="D422" s="334"/>
      <c r="E422" s="334"/>
      <c r="F422" s="334"/>
      <c r="G422" s="334"/>
      <c r="H422" s="334"/>
      <c r="I422" s="334"/>
      <c r="J422" s="334"/>
      <c r="K422" s="334"/>
      <c r="L422" s="334"/>
      <c r="M422" s="334"/>
      <c r="N422" s="339"/>
    </row>
    <row r="423" spans="1:14" ht="21" customHeight="1">
      <c r="A423" s="299"/>
      <c r="B423" s="300"/>
      <c r="C423" s="300"/>
      <c r="D423" s="300"/>
      <c r="E423" s="300"/>
      <c r="F423" s="300"/>
      <c r="G423" s="300"/>
      <c r="H423" s="300"/>
      <c r="I423" s="300"/>
      <c r="J423" s="300"/>
      <c r="K423" s="300"/>
      <c r="L423" s="300"/>
      <c r="M423" s="300"/>
      <c r="N423" s="300"/>
    </row>
    <row r="425" spans="1:14" ht="21" customHeight="1">
      <c r="A425" s="310" t="s">
        <v>727</v>
      </c>
      <c r="B425" s="310" t="s">
        <v>728</v>
      </c>
      <c r="C425" s="310" t="s">
        <v>729</v>
      </c>
      <c r="D425" s="311" t="s">
        <v>730</v>
      </c>
      <c r="E425" s="312" t="s">
        <v>731</v>
      </c>
      <c r="F425" s="313" t="s">
        <v>732</v>
      </c>
      <c r="G425" s="313" t="s">
        <v>733</v>
      </c>
      <c r="H425" s="313" t="s">
        <v>734</v>
      </c>
      <c r="I425" s="314" t="s">
        <v>459</v>
      </c>
      <c r="J425" s="315" t="s">
        <v>16</v>
      </c>
      <c r="K425" s="315" t="s">
        <v>463</v>
      </c>
      <c r="L425" s="315" t="s">
        <v>460</v>
      </c>
      <c r="M425" s="315" t="s">
        <v>18</v>
      </c>
      <c r="N425" s="315" t="s">
        <v>735</v>
      </c>
    </row>
    <row r="426" spans="1:14" ht="21" customHeight="1">
      <c r="A426" s="488" t="s">
        <v>1061</v>
      </c>
      <c r="B426" s="343"/>
      <c r="C426" s="316" t="s">
        <v>736</v>
      </c>
      <c r="D426" s="317">
        <v>203</v>
      </c>
      <c r="E426" s="318"/>
      <c r="F426" s="318" t="s">
        <v>1079</v>
      </c>
      <c r="G426" s="318" t="s">
        <v>1084</v>
      </c>
      <c r="H426" s="318" t="s">
        <v>1092</v>
      </c>
      <c r="I426" s="319" t="s">
        <v>737</v>
      </c>
      <c r="J426" s="320" t="s">
        <v>1334</v>
      </c>
      <c r="K426" s="321" t="s">
        <v>1335</v>
      </c>
      <c r="L426" s="320" t="s">
        <v>1336</v>
      </c>
      <c r="M426" s="321" t="s">
        <v>1333</v>
      </c>
      <c r="N426" s="320"/>
    </row>
    <row r="427" spans="1:14" ht="21" customHeight="1">
      <c r="A427" s="489"/>
      <c r="B427" s="292" t="s">
        <v>1132</v>
      </c>
      <c r="C427" s="318" t="s">
        <v>738</v>
      </c>
      <c r="D427" s="317">
        <v>209</v>
      </c>
      <c r="E427" s="317"/>
      <c r="F427" s="318"/>
      <c r="G427" s="318"/>
      <c r="H427" s="318"/>
      <c r="I427" s="322" t="s">
        <v>739</v>
      </c>
      <c r="J427" s="323" t="s">
        <v>815</v>
      </c>
      <c r="K427" s="323" t="s">
        <v>815</v>
      </c>
      <c r="L427" s="323" t="s">
        <v>815</v>
      </c>
      <c r="M427" s="323" t="s">
        <v>815</v>
      </c>
      <c r="N427" s="324"/>
    </row>
    <row r="428" spans="1:14" ht="21" customHeight="1">
      <c r="A428" s="489"/>
      <c r="B428" s="292" t="s">
        <v>747</v>
      </c>
      <c r="C428" s="318" t="s">
        <v>740</v>
      </c>
      <c r="D428" s="318">
        <v>226</v>
      </c>
      <c r="E428" s="318"/>
      <c r="F428" s="318"/>
      <c r="G428" s="318"/>
      <c r="H428" s="318"/>
      <c r="I428" s="322" t="s">
        <v>741</v>
      </c>
      <c r="J428" s="325" t="s">
        <v>1055</v>
      </c>
      <c r="K428" s="325" t="s">
        <v>1056</v>
      </c>
      <c r="L428" s="325" t="s">
        <v>1056</v>
      </c>
      <c r="M428" s="326" t="s">
        <v>1058</v>
      </c>
      <c r="N428" s="323"/>
    </row>
    <row r="429" spans="1:14" ht="21" customHeight="1">
      <c r="A429" s="490"/>
      <c r="B429" s="293"/>
      <c r="C429" s="327" t="s">
        <v>742</v>
      </c>
      <c r="D429" s="328">
        <f>SUM(D426:D428)</f>
        <v>638</v>
      </c>
      <c r="E429" s="329"/>
      <c r="F429" s="329"/>
      <c r="G429" s="329"/>
      <c r="H429" s="329"/>
      <c r="I429" s="322" t="s">
        <v>743</v>
      </c>
      <c r="J429" s="325" t="s">
        <v>1059</v>
      </c>
      <c r="K429" s="326" t="s">
        <v>1057</v>
      </c>
      <c r="L429" s="326" t="s">
        <v>1057</v>
      </c>
      <c r="M429" s="326" t="s">
        <v>1057</v>
      </c>
      <c r="N429" s="323"/>
    </row>
    <row r="430" spans="1:14" ht="21" customHeight="1">
      <c r="A430" s="323" t="s">
        <v>744</v>
      </c>
      <c r="B430" s="330"/>
      <c r="C430" s="331"/>
      <c r="D430" s="332"/>
      <c r="E430" s="332" t="s">
        <v>1069</v>
      </c>
      <c r="F430" s="332"/>
      <c r="G430" s="332"/>
      <c r="H430" s="332"/>
      <c r="I430" s="322" t="s">
        <v>745</v>
      </c>
      <c r="J430" s="294" t="s">
        <v>749</v>
      </c>
      <c r="K430" s="294" t="s">
        <v>749</v>
      </c>
      <c r="L430" s="294" t="s">
        <v>749</v>
      </c>
      <c r="M430" s="294"/>
      <c r="N430" s="323"/>
    </row>
    <row r="431" spans="1:14" ht="21" customHeight="1">
      <c r="A431" s="491" t="s">
        <v>746</v>
      </c>
      <c r="B431" s="333" t="s">
        <v>1337</v>
      </c>
      <c r="C431" s="334"/>
      <c r="D431" s="334"/>
      <c r="E431" s="334"/>
      <c r="F431" s="334"/>
      <c r="G431" s="334"/>
      <c r="H431" s="334"/>
      <c r="I431" s="334"/>
      <c r="J431" s="335"/>
      <c r="K431" s="336"/>
      <c r="L431" s="336"/>
      <c r="M431" s="336"/>
      <c r="N431" s="309"/>
    </row>
    <row r="432" spans="1:14" ht="21" customHeight="1">
      <c r="A432" s="492"/>
      <c r="B432" s="307" t="s">
        <v>1338</v>
      </c>
      <c r="C432" s="334"/>
      <c r="D432" s="334"/>
      <c r="E432" s="334"/>
      <c r="F432" s="334"/>
      <c r="G432" s="334"/>
      <c r="H432" s="334"/>
      <c r="I432" s="334"/>
      <c r="J432" s="334"/>
      <c r="K432" s="334"/>
      <c r="L432" s="334"/>
      <c r="M432" s="334"/>
      <c r="N432" s="337"/>
    </row>
    <row r="433" spans="1:14" ht="21" customHeight="1">
      <c r="A433" s="492"/>
      <c r="B433" s="307" t="s">
        <v>1339</v>
      </c>
      <c r="C433" s="308"/>
      <c r="D433" s="308"/>
      <c r="E433" s="308"/>
      <c r="F433" s="308"/>
      <c r="G433" s="308"/>
      <c r="H433" s="308"/>
      <c r="I433" s="308"/>
      <c r="J433" s="308"/>
      <c r="K433" s="308"/>
      <c r="L433" s="308"/>
      <c r="M433" s="308"/>
      <c r="N433" s="309"/>
    </row>
    <row r="434" spans="1:14" ht="21" customHeight="1">
      <c r="A434" s="492"/>
      <c r="B434" s="307" t="s">
        <v>1340</v>
      </c>
      <c r="C434" s="308"/>
      <c r="D434" s="308"/>
      <c r="E434" s="308"/>
      <c r="F434" s="308"/>
      <c r="G434" s="308"/>
      <c r="H434" s="308"/>
      <c r="I434" s="308"/>
      <c r="J434" s="308"/>
      <c r="K434" s="308"/>
      <c r="L434" s="308"/>
      <c r="M434" s="308"/>
      <c r="N434" s="309"/>
    </row>
    <row r="435" spans="1:14" ht="21" customHeight="1">
      <c r="A435" s="493"/>
      <c r="B435" s="338"/>
      <c r="C435" s="334"/>
      <c r="D435" s="334"/>
      <c r="E435" s="334"/>
      <c r="F435" s="334"/>
      <c r="G435" s="334"/>
      <c r="H435" s="334"/>
      <c r="I435" s="334"/>
      <c r="J435" s="334"/>
      <c r="K435" s="334"/>
      <c r="L435" s="334"/>
      <c r="M435" s="334"/>
      <c r="N435" s="339"/>
    </row>
    <row r="438" spans="1:14" ht="21" customHeight="1">
      <c r="A438" s="310" t="s">
        <v>727</v>
      </c>
      <c r="B438" s="310" t="s">
        <v>728</v>
      </c>
      <c r="C438" s="310" t="s">
        <v>729</v>
      </c>
      <c r="D438" s="311" t="s">
        <v>730</v>
      </c>
      <c r="E438" s="312" t="s">
        <v>731</v>
      </c>
      <c r="F438" s="313" t="s">
        <v>732</v>
      </c>
      <c r="G438" s="313" t="s">
        <v>733</v>
      </c>
      <c r="H438" s="313" t="s">
        <v>734</v>
      </c>
      <c r="I438" s="314" t="s">
        <v>459</v>
      </c>
      <c r="J438" s="315" t="s">
        <v>16</v>
      </c>
      <c r="K438" s="315" t="s">
        <v>463</v>
      </c>
      <c r="L438" s="315" t="s">
        <v>460</v>
      </c>
      <c r="M438" s="315" t="s">
        <v>18</v>
      </c>
      <c r="N438" s="315" t="s">
        <v>735</v>
      </c>
    </row>
    <row r="439" spans="1:14" ht="21" customHeight="1">
      <c r="A439" s="488" t="s">
        <v>1373</v>
      </c>
      <c r="B439" s="343"/>
      <c r="C439" s="316" t="s">
        <v>736</v>
      </c>
      <c r="D439" s="317">
        <v>108</v>
      </c>
      <c r="E439" s="318"/>
      <c r="F439" s="318" t="s">
        <v>1375</v>
      </c>
      <c r="G439" s="318" t="s">
        <v>1376</v>
      </c>
      <c r="H439" s="318" t="s">
        <v>1377</v>
      </c>
      <c r="I439" s="319" t="s">
        <v>737</v>
      </c>
      <c r="J439" s="320" t="s">
        <v>1403</v>
      </c>
      <c r="K439" s="321" t="s">
        <v>1402</v>
      </c>
      <c r="L439" s="320"/>
      <c r="M439" s="321"/>
      <c r="N439" s="320"/>
    </row>
    <row r="440" spans="1:14" ht="21" customHeight="1">
      <c r="A440" s="489"/>
      <c r="B440" s="292" t="s">
        <v>1374</v>
      </c>
      <c r="C440" s="318" t="s">
        <v>738</v>
      </c>
      <c r="D440" s="317">
        <v>131</v>
      </c>
      <c r="E440" s="317"/>
      <c r="F440" s="318" t="s">
        <v>1407</v>
      </c>
      <c r="G440" s="318"/>
      <c r="H440" s="318"/>
      <c r="I440" s="322" t="s">
        <v>739</v>
      </c>
      <c r="J440" s="323" t="s">
        <v>815</v>
      </c>
      <c r="K440" s="323" t="s">
        <v>815</v>
      </c>
      <c r="L440" s="323" t="s">
        <v>815</v>
      </c>
      <c r="M440" s="323" t="s">
        <v>815</v>
      </c>
      <c r="N440" s="324"/>
    </row>
    <row r="441" spans="1:14" ht="21" customHeight="1">
      <c r="A441" s="489"/>
      <c r="B441" s="292" t="s">
        <v>1378</v>
      </c>
      <c r="C441" s="318" t="s">
        <v>740</v>
      </c>
      <c r="D441" s="318">
        <v>132</v>
      </c>
      <c r="E441" s="318"/>
      <c r="F441" s="318"/>
      <c r="G441" s="318"/>
      <c r="H441" s="318"/>
      <c r="I441" s="322" t="s">
        <v>741</v>
      </c>
      <c r="J441" s="325" t="s">
        <v>1055</v>
      </c>
      <c r="K441" s="325" t="s">
        <v>1056</v>
      </c>
      <c r="L441" s="325" t="s">
        <v>1056</v>
      </c>
      <c r="M441" s="326" t="s">
        <v>1058</v>
      </c>
      <c r="N441" s="323"/>
    </row>
    <row r="442" spans="1:14" ht="21" customHeight="1">
      <c r="A442" s="490"/>
      <c r="B442" s="293"/>
      <c r="C442" s="327" t="s">
        <v>742</v>
      </c>
      <c r="D442" s="328">
        <f>SUM(D439:D441)</f>
        <v>371</v>
      </c>
      <c r="E442" s="329"/>
      <c r="F442" s="329"/>
      <c r="G442" s="329"/>
      <c r="H442" s="329"/>
      <c r="I442" s="322" t="s">
        <v>743</v>
      </c>
      <c r="J442" s="325" t="s">
        <v>1059</v>
      </c>
      <c r="K442" s="326" t="s">
        <v>1057</v>
      </c>
      <c r="L442" s="326" t="s">
        <v>1057</v>
      </c>
      <c r="M442" s="326" t="s">
        <v>1057</v>
      </c>
      <c r="N442" s="323"/>
    </row>
    <row r="443" spans="1:14" ht="21" customHeight="1">
      <c r="A443" s="323" t="s">
        <v>744</v>
      </c>
      <c r="B443" s="330"/>
      <c r="C443" s="331"/>
      <c r="D443" s="332"/>
      <c r="E443" s="332" t="s">
        <v>1379</v>
      </c>
      <c r="F443" s="332"/>
      <c r="G443" s="332"/>
      <c r="H443" s="332"/>
      <c r="I443" s="322" t="s">
        <v>745</v>
      </c>
      <c r="J443" s="294" t="s">
        <v>749</v>
      </c>
      <c r="K443" s="294" t="s">
        <v>749</v>
      </c>
      <c r="L443" s="294" t="s">
        <v>749</v>
      </c>
      <c r="M443" s="294"/>
      <c r="N443" s="323"/>
    </row>
    <row r="444" spans="1:14" ht="21" customHeight="1">
      <c r="A444" s="491" t="s">
        <v>746</v>
      </c>
      <c r="B444" s="333" t="s">
        <v>1404</v>
      </c>
      <c r="C444" s="334"/>
      <c r="D444" s="334"/>
      <c r="E444" s="334"/>
      <c r="F444" s="334"/>
      <c r="G444" s="334"/>
      <c r="H444" s="334"/>
      <c r="I444" s="334"/>
      <c r="J444" s="335"/>
      <c r="K444" s="336"/>
      <c r="L444" s="336"/>
      <c r="M444" s="336"/>
      <c r="N444" s="309"/>
    </row>
    <row r="445" spans="1:14" ht="21" customHeight="1">
      <c r="A445" s="492"/>
      <c r="B445" s="307" t="s">
        <v>1405</v>
      </c>
      <c r="C445" s="334"/>
      <c r="D445" s="334"/>
      <c r="E445" s="334"/>
      <c r="F445" s="334"/>
      <c r="G445" s="334"/>
      <c r="H445" s="334"/>
      <c r="I445" s="334"/>
      <c r="J445" s="334"/>
      <c r="K445" s="334"/>
      <c r="L445" s="334"/>
      <c r="M445" s="334"/>
      <c r="N445" s="337"/>
    </row>
    <row r="446" spans="1:14" ht="21" customHeight="1">
      <c r="A446" s="492"/>
      <c r="B446" s="307" t="s">
        <v>1406</v>
      </c>
      <c r="C446" s="308"/>
      <c r="D446" s="308"/>
      <c r="E446" s="308"/>
      <c r="F446" s="308"/>
      <c r="G446" s="308"/>
      <c r="H446" s="308"/>
      <c r="I446" s="308"/>
      <c r="J446" s="308"/>
      <c r="K446" s="308"/>
      <c r="L446" s="308"/>
      <c r="M446" s="308"/>
      <c r="N446" s="309"/>
    </row>
    <row r="447" spans="1:14" ht="21" customHeight="1">
      <c r="A447" s="492"/>
      <c r="B447" s="307" t="s">
        <v>1408</v>
      </c>
      <c r="C447" s="308"/>
      <c r="D447" s="308"/>
      <c r="E447" s="308"/>
      <c r="F447" s="308"/>
      <c r="G447" s="308"/>
      <c r="H447" s="308"/>
      <c r="I447" s="308"/>
      <c r="J447" s="308"/>
      <c r="K447" s="308"/>
      <c r="L447" s="308"/>
      <c r="M447" s="308"/>
      <c r="N447" s="309"/>
    </row>
    <row r="448" spans="1:14" ht="21" customHeight="1">
      <c r="A448" s="493"/>
      <c r="B448" s="338" t="s">
        <v>1409</v>
      </c>
      <c r="C448" s="334"/>
      <c r="D448" s="334"/>
      <c r="E448" s="334"/>
      <c r="F448" s="334"/>
      <c r="G448" s="334"/>
      <c r="H448" s="334"/>
      <c r="I448" s="334"/>
      <c r="J448" s="334"/>
      <c r="K448" s="334"/>
      <c r="L448" s="334"/>
      <c r="M448" s="334"/>
      <c r="N448" s="339"/>
    </row>
    <row r="451" spans="1:14" ht="21" customHeight="1">
      <c r="A451" s="310" t="s">
        <v>727</v>
      </c>
      <c r="B451" s="310" t="s">
        <v>728</v>
      </c>
      <c r="C451" s="310" t="s">
        <v>729</v>
      </c>
      <c r="D451" s="311" t="s">
        <v>730</v>
      </c>
      <c r="E451" s="312" t="s">
        <v>731</v>
      </c>
      <c r="F451" s="313" t="s">
        <v>732</v>
      </c>
      <c r="G451" s="313" t="s">
        <v>733</v>
      </c>
      <c r="H451" s="313" t="s">
        <v>734</v>
      </c>
      <c r="I451" s="314" t="s">
        <v>459</v>
      </c>
      <c r="J451" s="315" t="s">
        <v>16</v>
      </c>
      <c r="K451" s="315" t="s">
        <v>463</v>
      </c>
      <c r="L451" s="315" t="s">
        <v>460</v>
      </c>
      <c r="M451" s="315" t="s">
        <v>18</v>
      </c>
      <c r="N451" s="315" t="s">
        <v>735</v>
      </c>
    </row>
    <row r="452" spans="1:14" ht="21" customHeight="1">
      <c r="A452" s="488" t="s">
        <v>1373</v>
      </c>
      <c r="B452" s="343"/>
      <c r="C452" s="316" t="s">
        <v>736</v>
      </c>
      <c r="D452" s="317">
        <v>183</v>
      </c>
      <c r="E452" s="318"/>
      <c r="F452" s="318" t="s">
        <v>1375</v>
      </c>
      <c r="G452" s="318" t="s">
        <v>1382</v>
      </c>
      <c r="H452" s="318" t="s">
        <v>1376</v>
      </c>
      <c r="I452" s="319" t="s">
        <v>737</v>
      </c>
      <c r="J452" s="320" t="s">
        <v>1410</v>
      </c>
      <c r="K452" s="321" t="s">
        <v>1411</v>
      </c>
      <c r="L452" s="320"/>
      <c r="M452" s="321" t="s">
        <v>1412</v>
      </c>
      <c r="N452" s="320"/>
    </row>
    <row r="453" spans="1:14" ht="21" customHeight="1">
      <c r="A453" s="489"/>
      <c r="B453" s="292" t="s">
        <v>1380</v>
      </c>
      <c r="C453" s="318" t="s">
        <v>738</v>
      </c>
      <c r="D453" s="317">
        <v>167</v>
      </c>
      <c r="E453" s="317"/>
      <c r="F453" s="318"/>
      <c r="G453" s="318"/>
      <c r="H453" s="318"/>
      <c r="I453" s="322" t="s">
        <v>739</v>
      </c>
      <c r="J453" s="323" t="s">
        <v>815</v>
      </c>
      <c r="K453" s="323" t="s">
        <v>815</v>
      </c>
      <c r="L453" s="323" t="s">
        <v>815</v>
      </c>
      <c r="M453" s="323" t="s">
        <v>815</v>
      </c>
      <c r="N453" s="324"/>
    </row>
    <row r="454" spans="1:14" ht="21" customHeight="1">
      <c r="A454" s="489"/>
      <c r="B454" s="292" t="s">
        <v>1381</v>
      </c>
      <c r="C454" s="318" t="s">
        <v>740</v>
      </c>
      <c r="D454" s="318">
        <v>189</v>
      </c>
      <c r="E454" s="318"/>
      <c r="F454" s="318"/>
      <c r="G454" s="318"/>
      <c r="H454" s="318"/>
      <c r="I454" s="322" t="s">
        <v>741</v>
      </c>
      <c r="J454" s="325" t="s">
        <v>1055</v>
      </c>
      <c r="K454" s="325" t="s">
        <v>1056</v>
      </c>
      <c r="L454" s="325" t="s">
        <v>1056</v>
      </c>
      <c r="M454" s="326" t="s">
        <v>1058</v>
      </c>
      <c r="N454" s="323"/>
    </row>
    <row r="455" spans="1:14" ht="21" customHeight="1">
      <c r="A455" s="490"/>
      <c r="B455" s="293"/>
      <c r="C455" s="327" t="s">
        <v>742</v>
      </c>
      <c r="D455" s="328">
        <f>SUM(D452:D454)</f>
        <v>539</v>
      </c>
      <c r="E455" s="329"/>
      <c r="F455" s="329"/>
      <c r="G455" s="329"/>
      <c r="H455" s="329"/>
      <c r="I455" s="322" t="s">
        <v>743</v>
      </c>
      <c r="J455" s="325" t="s">
        <v>1059</v>
      </c>
      <c r="K455" s="326" t="s">
        <v>1057</v>
      </c>
      <c r="L455" s="326" t="s">
        <v>1057</v>
      </c>
      <c r="M455" s="326" t="s">
        <v>1057</v>
      </c>
      <c r="N455" s="323"/>
    </row>
    <row r="456" spans="1:14" ht="21" customHeight="1">
      <c r="A456" s="323" t="s">
        <v>744</v>
      </c>
      <c r="B456" s="330"/>
      <c r="C456" s="331"/>
      <c r="D456" s="332"/>
      <c r="E456" s="332" t="s">
        <v>1379</v>
      </c>
      <c r="F456" s="332"/>
      <c r="G456" s="332"/>
      <c r="H456" s="332"/>
      <c r="I456" s="322" t="s">
        <v>745</v>
      </c>
      <c r="J456" s="294" t="s">
        <v>749</v>
      </c>
      <c r="K456" s="294" t="s">
        <v>749</v>
      </c>
      <c r="L456" s="294" t="s">
        <v>749</v>
      </c>
      <c r="M456" s="294"/>
      <c r="N456" s="323"/>
    </row>
    <row r="457" spans="1:14" ht="21" customHeight="1">
      <c r="A457" s="491" t="s">
        <v>746</v>
      </c>
      <c r="B457" s="333" t="s">
        <v>1413</v>
      </c>
      <c r="C457" s="334"/>
      <c r="D457" s="334"/>
      <c r="E457" s="334"/>
      <c r="F457" s="334"/>
      <c r="G457" s="334"/>
      <c r="H457" s="334"/>
      <c r="I457" s="334"/>
      <c r="J457" s="335"/>
      <c r="K457" s="336"/>
      <c r="L457" s="336"/>
      <c r="M457" s="336"/>
      <c r="N457" s="309"/>
    </row>
    <row r="458" spans="1:14" ht="21" customHeight="1">
      <c r="A458" s="492"/>
      <c r="B458" s="307" t="s">
        <v>1414</v>
      </c>
      <c r="C458" s="334"/>
      <c r="D458" s="334"/>
      <c r="E458" s="334"/>
      <c r="F458" s="334"/>
      <c r="G458" s="334"/>
      <c r="H458" s="334"/>
      <c r="I458" s="334"/>
      <c r="J458" s="334"/>
      <c r="K458" s="334"/>
      <c r="L458" s="334"/>
      <c r="M458" s="334"/>
      <c r="N458" s="337"/>
    </row>
    <row r="459" spans="1:14" ht="21" customHeight="1">
      <c r="A459" s="492"/>
      <c r="B459" s="307"/>
      <c r="C459" s="308"/>
      <c r="D459" s="308"/>
      <c r="E459" s="308"/>
      <c r="F459" s="308"/>
      <c r="G459" s="308"/>
      <c r="H459" s="308"/>
      <c r="I459" s="308"/>
      <c r="J459" s="308"/>
      <c r="K459" s="308"/>
      <c r="L459" s="308"/>
      <c r="M459" s="308"/>
      <c r="N459" s="309"/>
    </row>
    <row r="460" spans="1:14" ht="21" customHeight="1">
      <c r="A460" s="492"/>
      <c r="B460" s="307"/>
      <c r="C460" s="308"/>
      <c r="D460" s="308"/>
      <c r="E460" s="308"/>
      <c r="F460" s="308"/>
      <c r="G460" s="308"/>
      <c r="H460" s="308"/>
      <c r="I460" s="308"/>
      <c r="J460" s="308"/>
      <c r="K460" s="308"/>
      <c r="L460" s="308"/>
      <c r="M460" s="308"/>
      <c r="N460" s="309"/>
    </row>
    <row r="461" spans="1:14" ht="21" customHeight="1">
      <c r="A461" s="493"/>
      <c r="B461" s="338"/>
      <c r="C461" s="334"/>
      <c r="D461" s="334"/>
      <c r="E461" s="334"/>
      <c r="F461" s="334"/>
      <c r="G461" s="334"/>
      <c r="H461" s="334"/>
      <c r="I461" s="334"/>
      <c r="J461" s="334"/>
      <c r="K461" s="334"/>
      <c r="L461" s="334"/>
      <c r="M461" s="334"/>
      <c r="N461" s="339"/>
    </row>
    <row r="464" spans="1:14" ht="21" customHeight="1">
      <c r="A464" s="310" t="s">
        <v>727</v>
      </c>
      <c r="B464" s="310" t="s">
        <v>728</v>
      </c>
      <c r="C464" s="310" t="s">
        <v>729</v>
      </c>
      <c r="D464" s="311" t="s">
        <v>730</v>
      </c>
      <c r="E464" s="312" t="s">
        <v>731</v>
      </c>
      <c r="F464" s="313" t="s">
        <v>732</v>
      </c>
      <c r="G464" s="313" t="s">
        <v>733</v>
      </c>
      <c r="H464" s="313" t="s">
        <v>734</v>
      </c>
      <c r="I464" s="314" t="s">
        <v>459</v>
      </c>
      <c r="J464" s="315" t="s">
        <v>16</v>
      </c>
      <c r="K464" s="315" t="s">
        <v>463</v>
      </c>
      <c r="L464" s="315" t="s">
        <v>460</v>
      </c>
      <c r="M464" s="315" t="s">
        <v>18</v>
      </c>
      <c r="N464" s="315" t="s">
        <v>735</v>
      </c>
    </row>
    <row r="465" spans="1:14" ht="21" customHeight="1">
      <c r="A465" s="488" t="s">
        <v>1373</v>
      </c>
      <c r="B465" s="343"/>
      <c r="C465" s="316" t="s">
        <v>736</v>
      </c>
      <c r="D465" s="317">
        <v>149</v>
      </c>
      <c r="E465" s="318" t="s">
        <v>1384</v>
      </c>
      <c r="F465" s="318" t="s">
        <v>1382</v>
      </c>
      <c r="G465" s="318" t="s">
        <v>1385</v>
      </c>
      <c r="H465" s="318" t="s">
        <v>1385</v>
      </c>
      <c r="I465" s="319" t="s">
        <v>737</v>
      </c>
      <c r="J465" s="320" t="s">
        <v>1416</v>
      </c>
      <c r="K465" s="321" t="s">
        <v>1415</v>
      </c>
      <c r="L465" s="320" t="s">
        <v>1417</v>
      </c>
      <c r="M465" s="321" t="s">
        <v>1418</v>
      </c>
      <c r="N465" s="320"/>
    </row>
    <row r="466" spans="1:14" ht="21" customHeight="1">
      <c r="A466" s="489"/>
      <c r="B466" s="292" t="s">
        <v>1383</v>
      </c>
      <c r="C466" s="318" t="s">
        <v>738</v>
      </c>
      <c r="D466" s="317">
        <v>123</v>
      </c>
      <c r="E466" s="317"/>
      <c r="F466" s="318"/>
      <c r="G466" s="318"/>
      <c r="H466" s="318"/>
      <c r="I466" s="322" t="s">
        <v>739</v>
      </c>
      <c r="J466" s="323" t="s">
        <v>815</v>
      </c>
      <c r="K466" s="323" t="s">
        <v>815</v>
      </c>
      <c r="L466" s="323" t="s">
        <v>815</v>
      </c>
      <c r="M466" s="323" t="s">
        <v>815</v>
      </c>
      <c r="N466" s="324"/>
    </row>
    <row r="467" spans="1:14" ht="21" customHeight="1">
      <c r="A467" s="489"/>
      <c r="B467" s="292" t="s">
        <v>747</v>
      </c>
      <c r="C467" s="318" t="s">
        <v>740</v>
      </c>
      <c r="D467" s="318">
        <v>102</v>
      </c>
      <c r="E467" s="318"/>
      <c r="F467" s="318"/>
      <c r="G467" s="318"/>
      <c r="H467" s="318"/>
      <c r="I467" s="322" t="s">
        <v>741</v>
      </c>
      <c r="J467" s="325" t="s">
        <v>1055</v>
      </c>
      <c r="K467" s="325" t="s">
        <v>1056</v>
      </c>
      <c r="L467" s="325" t="s">
        <v>1056</v>
      </c>
      <c r="M467" s="326" t="s">
        <v>1058</v>
      </c>
      <c r="N467" s="323"/>
    </row>
    <row r="468" spans="1:14" ht="21" customHeight="1">
      <c r="A468" s="490"/>
      <c r="B468" s="293"/>
      <c r="C468" s="327" t="s">
        <v>742</v>
      </c>
      <c r="D468" s="328">
        <f>SUM(D465:D467)</f>
        <v>374</v>
      </c>
      <c r="E468" s="329"/>
      <c r="F468" s="329"/>
      <c r="G468" s="329"/>
      <c r="H468" s="329"/>
      <c r="I468" s="322" t="s">
        <v>743</v>
      </c>
      <c r="J468" s="325" t="s">
        <v>1059</v>
      </c>
      <c r="K468" s="326" t="s">
        <v>1057</v>
      </c>
      <c r="L468" s="326" t="s">
        <v>1057</v>
      </c>
      <c r="M468" s="326" t="s">
        <v>1057</v>
      </c>
      <c r="N468" s="323"/>
    </row>
    <row r="469" spans="1:14" ht="21" customHeight="1">
      <c r="A469" s="323" t="s">
        <v>744</v>
      </c>
      <c r="B469" s="330"/>
      <c r="C469" s="331"/>
      <c r="D469" s="332"/>
      <c r="E469" s="332"/>
      <c r="F469" s="332"/>
      <c r="G469" s="332"/>
      <c r="H469" s="332"/>
      <c r="I469" s="322" t="s">
        <v>745</v>
      </c>
      <c r="J469" s="294" t="s">
        <v>749</v>
      </c>
      <c r="K469" s="294" t="s">
        <v>749</v>
      </c>
      <c r="L469" s="294" t="s">
        <v>749</v>
      </c>
      <c r="M469" s="294"/>
      <c r="N469" s="323"/>
    </row>
    <row r="470" spans="1:14" ht="21" customHeight="1">
      <c r="A470" s="491" t="s">
        <v>746</v>
      </c>
      <c r="B470" s="333" t="s">
        <v>1419</v>
      </c>
      <c r="C470" s="334"/>
      <c r="D470" s="334"/>
      <c r="E470" s="334"/>
      <c r="F470" s="334"/>
      <c r="G470" s="334"/>
      <c r="H470" s="334"/>
      <c r="I470" s="334"/>
      <c r="J470" s="335"/>
      <c r="K470" s="336"/>
      <c r="L470" s="336"/>
      <c r="M470" s="336"/>
      <c r="N470" s="309"/>
    </row>
    <row r="471" spans="1:14" ht="21" customHeight="1">
      <c r="A471" s="492"/>
      <c r="B471" s="307" t="s">
        <v>1420</v>
      </c>
      <c r="C471" s="334"/>
      <c r="D471" s="334"/>
      <c r="E471" s="334"/>
      <c r="F471" s="334"/>
      <c r="G471" s="334"/>
      <c r="H471" s="334"/>
      <c r="I471" s="334"/>
      <c r="J471" s="334"/>
      <c r="K471" s="334"/>
      <c r="L471" s="334"/>
      <c r="M471" s="334"/>
      <c r="N471" s="337"/>
    </row>
    <row r="472" spans="1:14" ht="21" customHeight="1">
      <c r="A472" s="492"/>
      <c r="B472" s="307" t="s">
        <v>1421</v>
      </c>
      <c r="C472" s="308"/>
      <c r="D472" s="308"/>
      <c r="E472" s="308"/>
      <c r="F472" s="308"/>
      <c r="G472" s="308"/>
      <c r="H472" s="308"/>
      <c r="I472" s="308"/>
      <c r="J472" s="308"/>
      <c r="K472" s="308"/>
      <c r="L472" s="308"/>
      <c r="M472" s="308"/>
      <c r="N472" s="309"/>
    </row>
    <row r="473" spans="1:14" ht="21" customHeight="1">
      <c r="A473" s="492"/>
      <c r="B473" s="307" t="s">
        <v>1422</v>
      </c>
      <c r="C473" s="308"/>
      <c r="D473" s="308"/>
      <c r="E473" s="308"/>
      <c r="F473" s="308"/>
      <c r="G473" s="308"/>
      <c r="H473" s="308"/>
      <c r="I473" s="308"/>
      <c r="J473" s="308"/>
      <c r="K473" s="308"/>
      <c r="L473" s="308"/>
      <c r="M473" s="308"/>
      <c r="N473" s="309"/>
    </row>
    <row r="474" spans="1:14" ht="21" customHeight="1">
      <c r="A474" s="493"/>
      <c r="B474" s="338"/>
      <c r="C474" s="334"/>
      <c r="D474" s="334"/>
      <c r="E474" s="334"/>
      <c r="F474" s="334"/>
      <c r="G474" s="334"/>
      <c r="H474" s="334"/>
      <c r="I474" s="334"/>
      <c r="J474" s="334"/>
      <c r="K474" s="334"/>
      <c r="L474" s="334"/>
      <c r="M474" s="334"/>
      <c r="N474" s="339"/>
    </row>
    <row r="475" spans="1:14" ht="21" customHeight="1">
      <c r="A475" s="297"/>
      <c r="B475" s="297"/>
      <c r="C475" s="297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298"/>
    </row>
    <row r="476" spans="1:14" ht="21" customHeight="1">
      <c r="A476" s="291"/>
      <c r="B476" s="291"/>
      <c r="C476" s="291"/>
      <c r="D476" s="291"/>
    </row>
    <row r="477" spans="1:14" ht="21" customHeight="1">
      <c r="A477" s="310" t="s">
        <v>727</v>
      </c>
      <c r="B477" s="310" t="s">
        <v>728</v>
      </c>
      <c r="C477" s="310" t="s">
        <v>729</v>
      </c>
      <c r="D477" s="311" t="s">
        <v>730</v>
      </c>
      <c r="E477" s="312" t="s">
        <v>731</v>
      </c>
      <c r="F477" s="313" t="s">
        <v>732</v>
      </c>
      <c r="G477" s="313" t="s">
        <v>733</v>
      </c>
      <c r="H477" s="313" t="s">
        <v>734</v>
      </c>
      <c r="I477" s="314" t="s">
        <v>459</v>
      </c>
      <c r="J477" s="315" t="s">
        <v>16</v>
      </c>
      <c r="K477" s="315" t="s">
        <v>463</v>
      </c>
      <c r="L477" s="315" t="s">
        <v>460</v>
      </c>
      <c r="M477" s="315" t="s">
        <v>18</v>
      </c>
      <c r="N477" s="315" t="s">
        <v>735</v>
      </c>
    </row>
    <row r="478" spans="1:14" ht="21" customHeight="1">
      <c r="A478" s="488" t="s">
        <v>1372</v>
      </c>
      <c r="B478" s="343"/>
      <c r="C478" s="316" t="s">
        <v>736</v>
      </c>
      <c r="D478" s="317">
        <v>221</v>
      </c>
      <c r="E478" s="318"/>
      <c r="F478" s="318" t="s">
        <v>1375</v>
      </c>
      <c r="G478" s="318" t="s">
        <v>1376</v>
      </c>
      <c r="H478" s="318" t="s">
        <v>1387</v>
      </c>
      <c r="I478" s="319" t="s">
        <v>737</v>
      </c>
      <c r="J478" s="320" t="s">
        <v>1424</v>
      </c>
      <c r="K478" s="321" t="s">
        <v>1425</v>
      </c>
      <c r="L478" s="320" t="s">
        <v>1426</v>
      </c>
      <c r="M478" s="321" t="s">
        <v>1427</v>
      </c>
      <c r="N478" s="320"/>
    </row>
    <row r="479" spans="1:14" ht="21" customHeight="1">
      <c r="A479" s="489"/>
      <c r="B479" s="292" t="s">
        <v>1386</v>
      </c>
      <c r="C479" s="318" t="s">
        <v>738</v>
      </c>
      <c r="D479" s="317">
        <v>210</v>
      </c>
      <c r="E479" s="317"/>
      <c r="F479" s="318"/>
      <c r="G479" s="318"/>
      <c r="H479" s="318"/>
      <c r="I479" s="322" t="s">
        <v>739</v>
      </c>
      <c r="J479" s="323" t="s">
        <v>815</v>
      </c>
      <c r="K479" s="323" t="s">
        <v>815</v>
      </c>
      <c r="L479" s="323" t="s">
        <v>815</v>
      </c>
      <c r="M479" s="323" t="s">
        <v>815</v>
      </c>
      <c r="N479" s="324"/>
    </row>
    <row r="480" spans="1:14" ht="21" customHeight="1">
      <c r="A480" s="489"/>
      <c r="B480" s="292" t="s">
        <v>747</v>
      </c>
      <c r="C480" s="318" t="s">
        <v>740</v>
      </c>
      <c r="D480" s="318">
        <v>210</v>
      </c>
      <c r="E480" s="318"/>
      <c r="F480" s="318"/>
      <c r="G480" s="318"/>
      <c r="H480" s="318"/>
      <c r="I480" s="322" t="s">
        <v>741</v>
      </c>
      <c r="J480" s="325" t="s">
        <v>1055</v>
      </c>
      <c r="K480" s="325" t="s">
        <v>1056</v>
      </c>
      <c r="L480" s="325" t="s">
        <v>1056</v>
      </c>
      <c r="M480" s="326" t="s">
        <v>1058</v>
      </c>
      <c r="N480" s="323"/>
    </row>
    <row r="481" spans="1:14" ht="21" customHeight="1">
      <c r="A481" s="490"/>
      <c r="B481" s="293"/>
      <c r="C481" s="327" t="s">
        <v>742</v>
      </c>
      <c r="D481" s="328">
        <f>SUM(D478:D480)</f>
        <v>641</v>
      </c>
      <c r="E481" s="329"/>
      <c r="F481" s="329"/>
      <c r="G481" s="329"/>
      <c r="H481" s="329"/>
      <c r="I481" s="322" t="s">
        <v>743</v>
      </c>
      <c r="J481" s="325" t="s">
        <v>1059</v>
      </c>
      <c r="K481" s="326" t="s">
        <v>1057</v>
      </c>
      <c r="L481" s="326" t="s">
        <v>1057</v>
      </c>
      <c r="M481" s="326" t="s">
        <v>1057</v>
      </c>
      <c r="N481" s="323"/>
    </row>
    <row r="482" spans="1:14" ht="21" customHeight="1">
      <c r="A482" s="323" t="s">
        <v>744</v>
      </c>
      <c r="B482" s="330"/>
      <c r="C482" s="331" t="s">
        <v>1423</v>
      </c>
      <c r="D482" s="332"/>
      <c r="E482" s="332" t="s">
        <v>1379</v>
      </c>
      <c r="F482" s="332"/>
      <c r="G482" s="332"/>
      <c r="H482" s="332"/>
      <c r="I482" s="322" t="s">
        <v>745</v>
      </c>
      <c r="J482" s="294" t="s">
        <v>749</v>
      </c>
      <c r="K482" s="294" t="s">
        <v>749</v>
      </c>
      <c r="L482" s="294" t="s">
        <v>749</v>
      </c>
      <c r="M482" s="294"/>
      <c r="N482" s="323"/>
    </row>
    <row r="483" spans="1:14" ht="21" customHeight="1">
      <c r="A483" s="491" t="s">
        <v>746</v>
      </c>
      <c r="B483" s="333" t="s">
        <v>1428</v>
      </c>
      <c r="C483" s="334"/>
      <c r="D483" s="334"/>
      <c r="E483" s="334"/>
      <c r="F483" s="334"/>
      <c r="G483" s="334"/>
      <c r="H483" s="334"/>
      <c r="I483" s="334"/>
      <c r="J483" s="335"/>
      <c r="K483" s="336"/>
      <c r="L483" s="336"/>
      <c r="M483" s="336"/>
      <c r="N483" s="309"/>
    </row>
    <row r="484" spans="1:14" ht="21" customHeight="1">
      <c r="A484" s="492"/>
      <c r="B484" s="307" t="s">
        <v>1429</v>
      </c>
      <c r="C484" s="334"/>
      <c r="D484" s="334"/>
      <c r="E484" s="334"/>
      <c r="F484" s="334"/>
      <c r="G484" s="334"/>
      <c r="H484" s="334"/>
      <c r="I484" s="334"/>
      <c r="J484" s="334"/>
      <c r="K484" s="334"/>
      <c r="L484" s="334"/>
      <c r="M484" s="334"/>
      <c r="N484" s="337"/>
    </row>
    <row r="485" spans="1:14" ht="21" customHeight="1">
      <c r="A485" s="492"/>
      <c r="B485" s="307" t="s">
        <v>1430</v>
      </c>
      <c r="C485" s="308"/>
      <c r="D485" s="308"/>
      <c r="E485" s="308"/>
      <c r="F485" s="308"/>
      <c r="G485" s="308"/>
      <c r="H485" s="308"/>
      <c r="I485" s="308"/>
      <c r="J485" s="308"/>
      <c r="K485" s="308"/>
      <c r="L485" s="308"/>
      <c r="M485" s="308"/>
      <c r="N485" s="309"/>
    </row>
    <row r="486" spans="1:14" ht="21" customHeight="1">
      <c r="A486" s="492"/>
      <c r="B486" s="307"/>
      <c r="C486" s="308"/>
      <c r="D486" s="308"/>
      <c r="E486" s="308"/>
      <c r="F486" s="308"/>
      <c r="G486" s="308"/>
      <c r="H486" s="308"/>
      <c r="I486" s="308"/>
      <c r="J486" s="308"/>
      <c r="K486" s="308"/>
      <c r="L486" s="308"/>
      <c r="M486" s="308"/>
      <c r="N486" s="309"/>
    </row>
    <row r="487" spans="1:14" ht="21" customHeight="1">
      <c r="A487" s="493"/>
      <c r="B487" s="338"/>
      <c r="C487" s="334"/>
      <c r="D487" s="334"/>
      <c r="E487" s="334"/>
      <c r="F487" s="334"/>
      <c r="G487" s="334"/>
      <c r="H487" s="334"/>
      <c r="I487" s="334"/>
      <c r="J487" s="334"/>
      <c r="K487" s="334"/>
      <c r="L487" s="334"/>
      <c r="M487" s="334"/>
      <c r="N487" s="339"/>
    </row>
    <row r="488" spans="1:14" ht="21" customHeight="1">
      <c r="A488" s="297"/>
      <c r="B488" s="297"/>
      <c r="C488" s="297"/>
    </row>
    <row r="489" spans="1:14" ht="21" customHeight="1">
      <c r="A489" s="310" t="s">
        <v>727</v>
      </c>
      <c r="B489" s="310" t="s">
        <v>728</v>
      </c>
      <c r="C489" s="310" t="s">
        <v>729</v>
      </c>
      <c r="D489" s="311" t="s">
        <v>730</v>
      </c>
      <c r="E489" s="312" t="s">
        <v>731</v>
      </c>
      <c r="F489" s="313" t="s">
        <v>732</v>
      </c>
      <c r="G489" s="313" t="s">
        <v>733</v>
      </c>
      <c r="H489" s="313" t="s">
        <v>734</v>
      </c>
      <c r="I489" s="314" t="s">
        <v>459</v>
      </c>
      <c r="J489" s="315" t="s">
        <v>16</v>
      </c>
      <c r="K489" s="315" t="s">
        <v>463</v>
      </c>
      <c r="L489" s="315" t="s">
        <v>460</v>
      </c>
      <c r="M489" s="315" t="s">
        <v>18</v>
      </c>
      <c r="N489" s="315" t="s">
        <v>735</v>
      </c>
    </row>
    <row r="490" spans="1:14" ht="21" customHeight="1">
      <c r="A490" s="488" t="s">
        <v>1388</v>
      </c>
      <c r="B490" s="343"/>
      <c r="C490" s="316" t="s">
        <v>736</v>
      </c>
      <c r="D490" s="317">
        <v>196</v>
      </c>
      <c r="E490" s="318"/>
      <c r="F490" s="318" t="s">
        <v>1389</v>
      </c>
      <c r="G490" s="318" t="s">
        <v>1390</v>
      </c>
      <c r="H490" s="318" t="s">
        <v>1385</v>
      </c>
      <c r="I490" s="319" t="s">
        <v>737</v>
      </c>
      <c r="J490" s="320" t="s">
        <v>1432</v>
      </c>
      <c r="K490" s="321" t="s">
        <v>1433</v>
      </c>
      <c r="L490" s="320" t="s">
        <v>1434</v>
      </c>
      <c r="M490" s="321" t="s">
        <v>1435</v>
      </c>
      <c r="N490" s="320"/>
    </row>
    <row r="491" spans="1:14" ht="21" customHeight="1">
      <c r="A491" s="489"/>
      <c r="B491" s="292" t="s">
        <v>1431</v>
      </c>
      <c r="C491" s="318" t="s">
        <v>738</v>
      </c>
      <c r="D491" s="317">
        <v>191</v>
      </c>
      <c r="E491" s="317"/>
      <c r="F491" s="318"/>
      <c r="G491" s="318"/>
      <c r="H491" s="318"/>
      <c r="I491" s="322" t="s">
        <v>739</v>
      </c>
      <c r="J491" s="323" t="s">
        <v>815</v>
      </c>
      <c r="K491" s="323" t="s">
        <v>815</v>
      </c>
      <c r="L491" s="323" t="s">
        <v>815</v>
      </c>
      <c r="M491" s="323" t="s">
        <v>815</v>
      </c>
      <c r="N491" s="324"/>
    </row>
    <row r="492" spans="1:14" ht="21" customHeight="1">
      <c r="A492" s="489"/>
      <c r="B492" s="292" t="s">
        <v>747</v>
      </c>
      <c r="C492" s="318" t="s">
        <v>740</v>
      </c>
      <c r="D492" s="318">
        <v>246</v>
      </c>
      <c r="E492" s="318"/>
      <c r="F492" s="318"/>
      <c r="G492" s="318"/>
      <c r="H492" s="318"/>
      <c r="I492" s="322" t="s">
        <v>741</v>
      </c>
      <c r="J492" s="325" t="s">
        <v>1055</v>
      </c>
      <c r="K492" s="325" t="s">
        <v>1056</v>
      </c>
      <c r="L492" s="325" t="s">
        <v>1056</v>
      </c>
      <c r="M492" s="326" t="s">
        <v>1058</v>
      </c>
      <c r="N492" s="323"/>
    </row>
    <row r="493" spans="1:14" ht="21" customHeight="1">
      <c r="A493" s="490"/>
      <c r="B493" s="293"/>
      <c r="C493" s="327" t="s">
        <v>742</v>
      </c>
      <c r="D493" s="328">
        <f>SUM(D490:D492)</f>
        <v>633</v>
      </c>
      <c r="E493" s="329"/>
      <c r="F493" s="329"/>
      <c r="G493" s="329"/>
      <c r="H493" s="329"/>
      <c r="I493" s="322" t="s">
        <v>743</v>
      </c>
      <c r="J493" s="325" t="s">
        <v>1059</v>
      </c>
      <c r="K493" s="326" t="s">
        <v>1057</v>
      </c>
      <c r="L493" s="326" t="s">
        <v>1057</v>
      </c>
      <c r="M493" s="326" t="s">
        <v>1057</v>
      </c>
      <c r="N493" s="323"/>
    </row>
    <row r="494" spans="1:14" ht="21" customHeight="1">
      <c r="A494" s="323" t="s">
        <v>744</v>
      </c>
      <c r="B494" s="330"/>
      <c r="C494" s="331"/>
      <c r="D494" s="332"/>
      <c r="E494" s="332" t="s">
        <v>1379</v>
      </c>
      <c r="F494" s="332"/>
      <c r="G494" s="332"/>
      <c r="H494" s="332"/>
      <c r="I494" s="322" t="s">
        <v>745</v>
      </c>
      <c r="J494" s="294" t="s">
        <v>749</v>
      </c>
      <c r="K494" s="294" t="s">
        <v>749</v>
      </c>
      <c r="L494" s="294" t="s">
        <v>749</v>
      </c>
      <c r="M494" s="294"/>
      <c r="N494" s="323"/>
    </row>
    <row r="495" spans="1:14" ht="21" customHeight="1">
      <c r="A495" s="491" t="s">
        <v>746</v>
      </c>
      <c r="B495" s="333" t="s">
        <v>1436</v>
      </c>
      <c r="C495" s="334"/>
      <c r="D495" s="334"/>
      <c r="E495" s="334"/>
      <c r="F495" s="334"/>
      <c r="G495" s="334"/>
      <c r="H495" s="334"/>
      <c r="I495" s="334"/>
      <c r="J495" s="335"/>
      <c r="K495" s="336"/>
      <c r="L495" s="336"/>
      <c r="M495" s="336"/>
      <c r="N495" s="309"/>
    </row>
    <row r="496" spans="1:14" ht="21" customHeight="1">
      <c r="A496" s="492"/>
      <c r="B496" s="307" t="s">
        <v>1437</v>
      </c>
      <c r="C496" s="334"/>
      <c r="D496" s="334"/>
      <c r="E496" s="334"/>
      <c r="F496" s="334"/>
      <c r="G496" s="334"/>
      <c r="H496" s="334"/>
      <c r="I496" s="334"/>
      <c r="J496" s="334"/>
      <c r="K496" s="334"/>
      <c r="L496" s="334"/>
      <c r="M496" s="334"/>
      <c r="N496" s="337"/>
    </row>
    <row r="497" spans="1:14" ht="21" customHeight="1">
      <c r="A497" s="492"/>
      <c r="B497" s="307" t="s">
        <v>1438</v>
      </c>
      <c r="C497" s="308"/>
      <c r="D497" s="308"/>
      <c r="E497" s="308"/>
      <c r="F497" s="308"/>
      <c r="G497" s="308"/>
      <c r="H497" s="308"/>
      <c r="I497" s="308"/>
      <c r="J497" s="308"/>
      <c r="K497" s="308"/>
      <c r="L497" s="308"/>
      <c r="M497" s="308"/>
      <c r="N497" s="309"/>
    </row>
    <row r="498" spans="1:14" ht="21" customHeight="1">
      <c r="A498" s="492"/>
      <c r="B498" s="307"/>
      <c r="C498" s="308"/>
      <c r="D498" s="308"/>
      <c r="E498" s="308"/>
      <c r="F498" s="308"/>
      <c r="G498" s="308"/>
      <c r="H498" s="308"/>
      <c r="I498" s="308"/>
      <c r="J498" s="308"/>
      <c r="K498" s="308"/>
      <c r="L498" s="308"/>
      <c r="M498" s="308"/>
      <c r="N498" s="309"/>
    </row>
    <row r="499" spans="1:14" ht="21" customHeight="1">
      <c r="A499" s="493"/>
      <c r="B499" s="338"/>
      <c r="C499" s="334"/>
      <c r="D499" s="334"/>
      <c r="E499" s="334"/>
      <c r="F499" s="334"/>
      <c r="G499" s="334"/>
      <c r="H499" s="334"/>
      <c r="I499" s="334"/>
      <c r="J499" s="334"/>
      <c r="K499" s="334"/>
      <c r="L499" s="334"/>
      <c r="M499" s="334"/>
      <c r="N499" s="339"/>
    </row>
    <row r="500" spans="1:14" ht="21" customHeight="1"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</row>
    <row r="501" spans="1:14" ht="21.75" customHeight="1">
      <c r="A501" s="291"/>
      <c r="B501" s="291"/>
      <c r="C501" s="291"/>
      <c r="D501" s="291"/>
      <c r="E501" s="19"/>
      <c r="F501" s="19"/>
      <c r="G501" s="19"/>
      <c r="H501" s="19"/>
      <c r="I501" s="19"/>
      <c r="J501" s="19"/>
      <c r="K501" s="19"/>
      <c r="L501" s="19"/>
      <c r="M501" s="19"/>
      <c r="N501" s="19"/>
    </row>
    <row r="502" spans="1:14" ht="21" customHeight="1">
      <c r="A502" s="310" t="s">
        <v>727</v>
      </c>
      <c r="B502" s="310" t="s">
        <v>728</v>
      </c>
      <c r="C502" s="310" t="s">
        <v>729</v>
      </c>
      <c r="D502" s="311" t="s">
        <v>730</v>
      </c>
      <c r="E502" s="312" t="s">
        <v>731</v>
      </c>
      <c r="F502" s="313" t="s">
        <v>732</v>
      </c>
      <c r="G502" s="313" t="s">
        <v>733</v>
      </c>
      <c r="H502" s="313" t="s">
        <v>734</v>
      </c>
      <c r="I502" s="314" t="s">
        <v>459</v>
      </c>
      <c r="J502" s="315" t="s">
        <v>16</v>
      </c>
      <c r="K502" s="315" t="s">
        <v>463</v>
      </c>
      <c r="L502" s="315" t="s">
        <v>460</v>
      </c>
      <c r="M502" s="315" t="s">
        <v>18</v>
      </c>
      <c r="N502" s="315" t="s">
        <v>735</v>
      </c>
    </row>
    <row r="503" spans="1:14" ht="21" customHeight="1">
      <c r="A503" s="488" t="s">
        <v>1388</v>
      </c>
      <c r="B503" s="343"/>
      <c r="C503" s="316" t="s">
        <v>736</v>
      </c>
      <c r="D503" s="317">
        <v>97</v>
      </c>
      <c r="E503" s="318"/>
      <c r="F503" s="318" t="s">
        <v>1391</v>
      </c>
      <c r="G503" s="318" t="s">
        <v>1392</v>
      </c>
      <c r="H503" s="318" t="s">
        <v>1377</v>
      </c>
      <c r="I503" s="319" t="s">
        <v>737</v>
      </c>
      <c r="J503" s="320"/>
      <c r="K503" s="321" t="s">
        <v>1439</v>
      </c>
      <c r="L503" s="320"/>
      <c r="M503" s="321" t="s">
        <v>1440</v>
      </c>
      <c r="N503" s="320"/>
    </row>
    <row r="504" spans="1:14" ht="21" customHeight="1">
      <c r="A504" s="489"/>
      <c r="B504" s="292" t="s">
        <v>1394</v>
      </c>
      <c r="C504" s="318" t="s">
        <v>738</v>
      </c>
      <c r="D504" s="317">
        <v>93</v>
      </c>
      <c r="E504" s="317"/>
      <c r="F504" s="318"/>
      <c r="G504" s="318"/>
      <c r="H504" s="318"/>
      <c r="I504" s="322" t="s">
        <v>739</v>
      </c>
      <c r="J504" s="323" t="s">
        <v>815</v>
      </c>
      <c r="K504" s="323" t="s">
        <v>815</v>
      </c>
      <c r="L504" s="323" t="s">
        <v>815</v>
      </c>
      <c r="M504" s="323" t="s">
        <v>815</v>
      </c>
      <c r="N504" s="324"/>
    </row>
    <row r="505" spans="1:14" ht="21" customHeight="1">
      <c r="A505" s="489"/>
      <c r="B505" s="292" t="s">
        <v>747</v>
      </c>
      <c r="C505" s="318" t="s">
        <v>740</v>
      </c>
      <c r="D505" s="318">
        <v>98</v>
      </c>
      <c r="E505" s="318"/>
      <c r="F505" s="318"/>
      <c r="G505" s="318"/>
      <c r="H505" s="318"/>
      <c r="I505" s="322" t="s">
        <v>741</v>
      </c>
      <c r="J505" s="325" t="s">
        <v>1055</v>
      </c>
      <c r="K505" s="325" t="s">
        <v>1056</v>
      </c>
      <c r="L505" s="325" t="s">
        <v>1056</v>
      </c>
      <c r="M505" s="326" t="s">
        <v>1058</v>
      </c>
      <c r="N505" s="323"/>
    </row>
    <row r="506" spans="1:14" ht="21" customHeight="1">
      <c r="A506" s="490"/>
      <c r="B506" s="293"/>
      <c r="C506" s="327" t="s">
        <v>742</v>
      </c>
      <c r="D506" s="328">
        <f>SUM(D503:D505)</f>
        <v>288</v>
      </c>
      <c r="E506" s="329"/>
      <c r="F506" s="329"/>
      <c r="G506" s="329"/>
      <c r="H506" s="329"/>
      <c r="I506" s="322" t="s">
        <v>743</v>
      </c>
      <c r="J506" s="325" t="s">
        <v>1059</v>
      </c>
      <c r="K506" s="326" t="s">
        <v>1057</v>
      </c>
      <c r="L506" s="326" t="s">
        <v>1057</v>
      </c>
      <c r="M506" s="326" t="s">
        <v>1057</v>
      </c>
      <c r="N506" s="323"/>
    </row>
    <row r="507" spans="1:14" ht="21" customHeight="1">
      <c r="A507" s="323" t="s">
        <v>744</v>
      </c>
      <c r="B507" s="330"/>
      <c r="C507" s="331" t="s">
        <v>1393</v>
      </c>
      <c r="D507" s="332"/>
      <c r="E507" s="332" t="s">
        <v>1379</v>
      </c>
      <c r="F507" s="332"/>
      <c r="G507" s="332"/>
      <c r="H507" s="332"/>
      <c r="I507" s="322" t="s">
        <v>745</v>
      </c>
      <c r="J507" s="294" t="s">
        <v>749</v>
      </c>
      <c r="K507" s="294" t="s">
        <v>749</v>
      </c>
      <c r="L507" s="294" t="s">
        <v>749</v>
      </c>
      <c r="M507" s="294"/>
      <c r="N507" s="323"/>
    </row>
    <row r="508" spans="1:14" ht="21" customHeight="1">
      <c r="A508" s="491" t="s">
        <v>746</v>
      </c>
      <c r="B508" s="333" t="s">
        <v>1441</v>
      </c>
      <c r="C508" s="334"/>
      <c r="D508" s="334"/>
      <c r="E508" s="334"/>
      <c r="F508" s="334"/>
      <c r="G508" s="334"/>
      <c r="H508" s="334"/>
      <c r="I508" s="334"/>
      <c r="J508" s="335"/>
      <c r="K508" s="336"/>
      <c r="L508" s="336"/>
      <c r="M508" s="336"/>
      <c r="N508" s="309"/>
    </row>
    <row r="509" spans="1:14" ht="21" customHeight="1">
      <c r="A509" s="492"/>
      <c r="B509" s="307" t="s">
        <v>1442</v>
      </c>
      <c r="C509" s="334"/>
      <c r="D509" s="334"/>
      <c r="E509" s="334"/>
      <c r="F509" s="334"/>
      <c r="G509" s="334"/>
      <c r="H509" s="334"/>
      <c r="I509" s="334"/>
      <c r="J509" s="334"/>
      <c r="K509" s="334"/>
      <c r="L509" s="334"/>
      <c r="M509" s="334"/>
      <c r="N509" s="337"/>
    </row>
    <row r="510" spans="1:14" ht="21" customHeight="1">
      <c r="A510" s="492"/>
      <c r="B510" s="307"/>
      <c r="C510" s="308"/>
      <c r="D510" s="308"/>
      <c r="E510" s="308"/>
      <c r="F510" s="308"/>
      <c r="G510" s="308"/>
      <c r="H510" s="308"/>
      <c r="I510" s="308"/>
      <c r="J510" s="308"/>
      <c r="K510" s="308"/>
      <c r="L510" s="308"/>
      <c r="M510" s="308"/>
      <c r="N510" s="309"/>
    </row>
    <row r="511" spans="1:14" ht="21" customHeight="1">
      <c r="A511" s="492"/>
      <c r="B511" s="307"/>
      <c r="C511" s="308"/>
      <c r="D511" s="308"/>
      <c r="E511" s="308"/>
      <c r="F511" s="308"/>
      <c r="G511" s="308"/>
      <c r="H511" s="308"/>
      <c r="I511" s="308"/>
      <c r="J511" s="308"/>
      <c r="K511" s="308"/>
      <c r="L511" s="308"/>
      <c r="M511" s="308"/>
      <c r="N511" s="309"/>
    </row>
    <row r="512" spans="1:14" ht="21" customHeight="1">
      <c r="A512" s="493"/>
      <c r="B512" s="338"/>
      <c r="C512" s="334"/>
      <c r="D512" s="334"/>
      <c r="E512" s="334"/>
      <c r="F512" s="334"/>
      <c r="G512" s="334"/>
      <c r="H512" s="334"/>
      <c r="I512" s="334"/>
      <c r="J512" s="334"/>
      <c r="K512" s="334"/>
      <c r="L512" s="334"/>
      <c r="M512" s="334"/>
      <c r="N512" s="339"/>
    </row>
    <row r="513" spans="1:14"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</row>
    <row r="514" spans="1:14">
      <c r="A514" s="291"/>
      <c r="B514" s="291"/>
      <c r="C514" s="291"/>
    </row>
    <row r="515" spans="1:14" ht="21" customHeight="1">
      <c r="A515" s="310" t="s">
        <v>727</v>
      </c>
      <c r="B515" s="310" t="s">
        <v>728</v>
      </c>
      <c r="C515" s="310" t="s">
        <v>729</v>
      </c>
      <c r="D515" s="311" t="s">
        <v>730</v>
      </c>
      <c r="E515" s="312" t="s">
        <v>731</v>
      </c>
      <c r="F515" s="313" t="s">
        <v>732</v>
      </c>
      <c r="G515" s="313" t="s">
        <v>733</v>
      </c>
      <c r="H515" s="313" t="s">
        <v>734</v>
      </c>
      <c r="I515" s="314" t="s">
        <v>459</v>
      </c>
      <c r="J515" s="315" t="s">
        <v>16</v>
      </c>
      <c r="K515" s="315" t="s">
        <v>463</v>
      </c>
      <c r="L515" s="315" t="s">
        <v>460</v>
      </c>
      <c r="M515" s="315" t="s">
        <v>18</v>
      </c>
      <c r="N515" s="315" t="s">
        <v>735</v>
      </c>
    </row>
    <row r="516" spans="1:14" ht="21" customHeight="1">
      <c r="A516" s="488" t="s">
        <v>1388</v>
      </c>
      <c r="B516" s="343"/>
      <c r="C516" s="316" t="s">
        <v>736</v>
      </c>
      <c r="D516" s="317">
        <v>99</v>
      </c>
      <c r="E516" s="318"/>
      <c r="F516" s="318" t="s">
        <v>1375</v>
      </c>
      <c r="G516" s="318" t="s">
        <v>1390</v>
      </c>
      <c r="H516" s="318" t="s">
        <v>1382</v>
      </c>
      <c r="I516" s="319" t="s">
        <v>737</v>
      </c>
      <c r="J516" s="320" t="s">
        <v>1443</v>
      </c>
      <c r="K516" s="321" t="s">
        <v>1444</v>
      </c>
      <c r="L516" s="320" t="s">
        <v>1445</v>
      </c>
      <c r="M516" s="321" t="s">
        <v>1446</v>
      </c>
      <c r="N516" s="320"/>
    </row>
    <row r="517" spans="1:14" ht="21" customHeight="1">
      <c r="A517" s="489"/>
      <c r="B517" s="292" t="s">
        <v>1395</v>
      </c>
      <c r="C517" s="318" t="s">
        <v>738</v>
      </c>
      <c r="D517" s="317">
        <v>108</v>
      </c>
      <c r="E517" s="317"/>
      <c r="F517" s="318"/>
      <c r="G517" s="318"/>
      <c r="H517" s="318"/>
      <c r="I517" s="322" t="s">
        <v>739</v>
      </c>
      <c r="J517" s="323" t="s">
        <v>815</v>
      </c>
      <c r="K517" s="323" t="s">
        <v>815</v>
      </c>
      <c r="L517" s="323" t="s">
        <v>815</v>
      </c>
      <c r="M517" s="323" t="s">
        <v>815</v>
      </c>
      <c r="N517" s="324"/>
    </row>
    <row r="518" spans="1:14" ht="21" customHeight="1">
      <c r="A518" s="489"/>
      <c r="B518" s="292" t="s">
        <v>1378</v>
      </c>
      <c r="C518" s="318" t="s">
        <v>740</v>
      </c>
      <c r="D518" s="318">
        <v>108</v>
      </c>
      <c r="E518" s="318"/>
      <c r="F518" s="318"/>
      <c r="G518" s="318"/>
      <c r="H518" s="318"/>
      <c r="I518" s="322" t="s">
        <v>741</v>
      </c>
      <c r="J518" s="325" t="s">
        <v>1055</v>
      </c>
      <c r="K518" s="325" t="s">
        <v>1056</v>
      </c>
      <c r="L518" s="325" t="s">
        <v>1056</v>
      </c>
      <c r="M518" s="326" t="s">
        <v>1058</v>
      </c>
      <c r="N518" s="323"/>
    </row>
    <row r="519" spans="1:14" ht="21" customHeight="1">
      <c r="A519" s="490"/>
      <c r="B519" s="293"/>
      <c r="C519" s="327" t="s">
        <v>742</v>
      </c>
      <c r="D519" s="328">
        <f>SUM(D516:D518)</f>
        <v>315</v>
      </c>
      <c r="E519" s="329"/>
      <c r="F519" s="329"/>
      <c r="G519" s="329"/>
      <c r="H519" s="329"/>
      <c r="I519" s="322" t="s">
        <v>743</v>
      </c>
      <c r="J519" s="325" t="s">
        <v>1059</v>
      </c>
      <c r="K519" s="326" t="s">
        <v>1057</v>
      </c>
      <c r="L519" s="326" t="s">
        <v>1057</v>
      </c>
      <c r="M519" s="326" t="s">
        <v>1057</v>
      </c>
      <c r="N519" s="323"/>
    </row>
    <row r="520" spans="1:14" ht="21" customHeight="1">
      <c r="A520" s="323" t="s">
        <v>744</v>
      </c>
      <c r="B520" s="330"/>
      <c r="C520" s="331"/>
      <c r="D520" s="332"/>
      <c r="E520" s="332" t="s">
        <v>1379</v>
      </c>
      <c r="F520" s="332"/>
      <c r="G520" s="332"/>
      <c r="H520" s="332"/>
      <c r="I520" s="322" t="s">
        <v>745</v>
      </c>
      <c r="J520" s="294" t="s">
        <v>749</v>
      </c>
      <c r="K520" s="294" t="s">
        <v>749</v>
      </c>
      <c r="L520" s="294" t="s">
        <v>749</v>
      </c>
      <c r="M520" s="294"/>
      <c r="N520" s="323"/>
    </row>
    <row r="521" spans="1:14" ht="21" customHeight="1">
      <c r="A521" s="491" t="s">
        <v>746</v>
      </c>
      <c r="B521" s="333" t="s">
        <v>1447</v>
      </c>
      <c r="C521" s="334"/>
      <c r="D521" s="334"/>
      <c r="E521" s="334"/>
      <c r="F521" s="334"/>
      <c r="G521" s="334"/>
      <c r="H521" s="334"/>
      <c r="I521" s="334"/>
      <c r="J521" s="335"/>
      <c r="K521" s="336"/>
      <c r="L521" s="336"/>
      <c r="M521" s="336"/>
      <c r="N521" s="309"/>
    </row>
    <row r="522" spans="1:14" ht="21" customHeight="1">
      <c r="A522" s="492"/>
      <c r="B522" s="307" t="s">
        <v>1448</v>
      </c>
      <c r="C522" s="334"/>
      <c r="D522" s="334"/>
      <c r="E522" s="334"/>
      <c r="F522" s="334"/>
      <c r="G522" s="334"/>
      <c r="H522" s="334"/>
      <c r="I522" s="334"/>
      <c r="J522" s="334"/>
      <c r="K522" s="334"/>
      <c r="L522" s="334"/>
      <c r="M522" s="334"/>
      <c r="N522" s="337"/>
    </row>
    <row r="523" spans="1:14" ht="21" customHeight="1">
      <c r="A523" s="492"/>
      <c r="B523" s="307"/>
      <c r="C523" s="308"/>
      <c r="D523" s="308"/>
      <c r="E523" s="308"/>
      <c r="F523" s="308"/>
      <c r="G523" s="308"/>
      <c r="H523" s="308"/>
      <c r="I523" s="308"/>
      <c r="J523" s="308"/>
      <c r="K523" s="308"/>
      <c r="L523" s="308"/>
      <c r="M523" s="308"/>
      <c r="N523" s="309"/>
    </row>
    <row r="524" spans="1:14" ht="21" customHeight="1">
      <c r="A524" s="492"/>
      <c r="B524" s="307"/>
      <c r="C524" s="308"/>
      <c r="D524" s="308"/>
      <c r="E524" s="308"/>
      <c r="F524" s="308"/>
      <c r="G524" s="308"/>
      <c r="H524" s="308"/>
      <c r="I524" s="308"/>
      <c r="J524" s="308"/>
      <c r="K524" s="308"/>
      <c r="L524" s="308"/>
      <c r="M524" s="308"/>
      <c r="N524" s="309"/>
    </row>
    <row r="525" spans="1:14" ht="21" customHeight="1">
      <c r="A525" s="493"/>
      <c r="B525" s="338"/>
      <c r="C525" s="334"/>
      <c r="D525" s="334"/>
      <c r="E525" s="334"/>
      <c r="F525" s="334"/>
      <c r="G525" s="334"/>
      <c r="H525" s="334"/>
      <c r="I525" s="334"/>
      <c r="J525" s="334"/>
      <c r="K525" s="334"/>
      <c r="L525" s="334"/>
      <c r="M525" s="334"/>
      <c r="N525" s="339"/>
    </row>
    <row r="527" spans="1:14">
      <c r="A527" s="291"/>
      <c r="B527" s="291"/>
      <c r="C527" s="291"/>
    </row>
    <row r="528" spans="1:14" ht="21" customHeight="1">
      <c r="A528" s="310" t="s">
        <v>727</v>
      </c>
      <c r="B528" s="310" t="s">
        <v>728</v>
      </c>
      <c r="C528" s="310" t="s">
        <v>729</v>
      </c>
      <c r="D528" s="311" t="s">
        <v>730</v>
      </c>
      <c r="E528" s="312" t="s">
        <v>731</v>
      </c>
      <c r="F528" s="313" t="s">
        <v>732</v>
      </c>
      <c r="G528" s="313" t="s">
        <v>733</v>
      </c>
      <c r="H528" s="313" t="s">
        <v>734</v>
      </c>
      <c r="I528" s="314" t="s">
        <v>459</v>
      </c>
      <c r="J528" s="315" t="s">
        <v>16</v>
      </c>
      <c r="K528" s="315" t="s">
        <v>463</v>
      </c>
      <c r="L528" s="315" t="s">
        <v>460</v>
      </c>
      <c r="M528" s="315" t="s">
        <v>18</v>
      </c>
      <c r="N528" s="315" t="s">
        <v>735</v>
      </c>
    </row>
    <row r="529" spans="1:14" ht="21" customHeight="1">
      <c r="A529" s="488" t="s">
        <v>1388</v>
      </c>
      <c r="B529" s="343"/>
      <c r="C529" s="316" t="s">
        <v>736</v>
      </c>
      <c r="D529" s="317">
        <v>132</v>
      </c>
      <c r="E529" s="318"/>
      <c r="F529" s="318" t="s">
        <v>1382</v>
      </c>
      <c r="G529" s="318" t="s">
        <v>1389</v>
      </c>
      <c r="H529" s="318" t="s">
        <v>1390</v>
      </c>
      <c r="I529" s="319" t="s">
        <v>737</v>
      </c>
      <c r="J529" s="320" t="s">
        <v>1449</v>
      </c>
      <c r="K529" s="321" t="s">
        <v>1450</v>
      </c>
      <c r="L529" s="320" t="s">
        <v>1451</v>
      </c>
      <c r="M529" s="321" t="s">
        <v>1452</v>
      </c>
      <c r="N529" s="320"/>
    </row>
    <row r="530" spans="1:14" ht="21" customHeight="1">
      <c r="A530" s="489"/>
      <c r="B530" s="292" t="s">
        <v>1396</v>
      </c>
      <c r="C530" s="318" t="s">
        <v>738</v>
      </c>
      <c r="D530" s="317">
        <v>145</v>
      </c>
      <c r="E530" s="317"/>
      <c r="F530" s="318"/>
      <c r="G530" s="318"/>
      <c r="H530" s="318"/>
      <c r="I530" s="322" t="s">
        <v>739</v>
      </c>
      <c r="J530" s="323" t="s">
        <v>815</v>
      </c>
      <c r="K530" s="323" t="s">
        <v>815</v>
      </c>
      <c r="L530" s="323" t="s">
        <v>815</v>
      </c>
      <c r="M530" s="323" t="s">
        <v>815</v>
      </c>
      <c r="N530" s="324"/>
    </row>
    <row r="531" spans="1:14" ht="21" customHeight="1">
      <c r="A531" s="489"/>
      <c r="B531" s="292" t="s">
        <v>747</v>
      </c>
      <c r="C531" s="318" t="s">
        <v>740</v>
      </c>
      <c r="D531" s="318">
        <v>152</v>
      </c>
      <c r="E531" s="318"/>
      <c r="F531" s="318"/>
      <c r="G531" s="318"/>
      <c r="H531" s="318"/>
      <c r="I531" s="322" t="s">
        <v>741</v>
      </c>
      <c r="J531" s="325" t="s">
        <v>1055</v>
      </c>
      <c r="K531" s="325" t="s">
        <v>1056</v>
      </c>
      <c r="L531" s="325" t="s">
        <v>1056</v>
      </c>
      <c r="M531" s="326" t="s">
        <v>1058</v>
      </c>
      <c r="N531" s="323"/>
    </row>
    <row r="532" spans="1:14" ht="21" customHeight="1">
      <c r="A532" s="490"/>
      <c r="B532" s="293"/>
      <c r="C532" s="327" t="s">
        <v>742</v>
      </c>
      <c r="D532" s="328">
        <f>SUM(D529:D531)</f>
        <v>429</v>
      </c>
      <c r="E532" s="329"/>
      <c r="F532" s="329"/>
      <c r="G532" s="329"/>
      <c r="H532" s="329"/>
      <c r="I532" s="322" t="s">
        <v>743</v>
      </c>
      <c r="J532" s="325" t="s">
        <v>1059</v>
      </c>
      <c r="K532" s="326" t="s">
        <v>1057</v>
      </c>
      <c r="L532" s="326" t="s">
        <v>1057</v>
      </c>
      <c r="M532" s="326" t="s">
        <v>1057</v>
      </c>
      <c r="N532" s="323"/>
    </row>
    <row r="533" spans="1:14" ht="21" customHeight="1">
      <c r="A533" s="323" t="s">
        <v>744</v>
      </c>
      <c r="B533" s="330"/>
      <c r="C533" s="331"/>
      <c r="D533" s="332"/>
      <c r="E533" s="332" t="s">
        <v>1379</v>
      </c>
      <c r="F533" s="332"/>
      <c r="G533" s="332"/>
      <c r="H533" s="332"/>
      <c r="I533" s="322" t="s">
        <v>745</v>
      </c>
      <c r="J533" s="294" t="s">
        <v>749</v>
      </c>
      <c r="K533" s="294" t="s">
        <v>749</v>
      </c>
      <c r="L533" s="294" t="s">
        <v>749</v>
      </c>
      <c r="M533" s="294"/>
      <c r="N533" s="323"/>
    </row>
    <row r="534" spans="1:14" ht="21" customHeight="1">
      <c r="A534" s="491" t="s">
        <v>746</v>
      </c>
      <c r="B534" s="333" t="s">
        <v>1453</v>
      </c>
      <c r="C534" s="334"/>
      <c r="D534" s="334"/>
      <c r="E534" s="334"/>
      <c r="F534" s="334"/>
      <c r="G534" s="334"/>
      <c r="H534" s="334"/>
      <c r="I534" s="334"/>
      <c r="J534" s="335"/>
      <c r="K534" s="336"/>
      <c r="L534" s="336"/>
      <c r="M534" s="336"/>
      <c r="N534" s="309"/>
    </row>
    <row r="535" spans="1:14" ht="21" customHeight="1">
      <c r="A535" s="492"/>
      <c r="B535" s="307" t="s">
        <v>1454</v>
      </c>
      <c r="C535" s="334"/>
      <c r="D535" s="334"/>
      <c r="E535" s="334"/>
      <c r="F535" s="334"/>
      <c r="G535" s="334"/>
      <c r="H535" s="334"/>
      <c r="I535" s="334"/>
      <c r="J535" s="334"/>
      <c r="K535" s="334"/>
      <c r="L535" s="334"/>
      <c r="M535" s="334"/>
      <c r="N535" s="337"/>
    </row>
    <row r="536" spans="1:14" ht="21" customHeight="1">
      <c r="A536" s="492"/>
      <c r="B536" s="307" t="s">
        <v>1455</v>
      </c>
      <c r="C536" s="308"/>
      <c r="D536" s="308"/>
      <c r="E536" s="308"/>
      <c r="F536" s="308"/>
      <c r="G536" s="308"/>
      <c r="H536" s="308"/>
      <c r="I536" s="308"/>
      <c r="J536" s="308"/>
      <c r="K536" s="308"/>
      <c r="L536" s="308"/>
      <c r="M536" s="308"/>
      <c r="N536" s="309"/>
    </row>
    <row r="537" spans="1:14" ht="21" customHeight="1">
      <c r="A537" s="492"/>
      <c r="B537" s="307"/>
      <c r="C537" s="308"/>
      <c r="D537" s="308"/>
      <c r="E537" s="308"/>
      <c r="F537" s="308"/>
      <c r="G537" s="308"/>
      <c r="H537" s="308"/>
      <c r="I537" s="308"/>
      <c r="J537" s="308"/>
      <c r="K537" s="308"/>
      <c r="L537" s="308"/>
      <c r="M537" s="308"/>
      <c r="N537" s="309"/>
    </row>
    <row r="538" spans="1:14" ht="21" customHeight="1">
      <c r="A538" s="493"/>
      <c r="B538" s="338"/>
      <c r="C538" s="334"/>
      <c r="D538" s="334"/>
      <c r="E538" s="334"/>
      <c r="F538" s="334"/>
      <c r="G538" s="334"/>
      <c r="H538" s="334"/>
      <c r="I538" s="334"/>
      <c r="J538" s="334"/>
      <c r="K538" s="334"/>
      <c r="L538" s="334"/>
      <c r="M538" s="334"/>
      <c r="N538" s="339"/>
    </row>
    <row r="540" spans="1:14">
      <c r="A540" s="291"/>
      <c r="B540" s="291"/>
      <c r="C540" s="291"/>
    </row>
    <row r="541" spans="1:14" ht="21" customHeight="1">
      <c r="A541" s="310" t="s">
        <v>727</v>
      </c>
      <c r="B541" s="310" t="s">
        <v>728</v>
      </c>
      <c r="C541" s="310" t="s">
        <v>729</v>
      </c>
      <c r="D541" s="311" t="s">
        <v>730</v>
      </c>
      <c r="E541" s="312" t="s">
        <v>731</v>
      </c>
      <c r="F541" s="313" t="s">
        <v>732</v>
      </c>
      <c r="G541" s="313" t="s">
        <v>733</v>
      </c>
      <c r="H541" s="313" t="s">
        <v>734</v>
      </c>
      <c r="I541" s="314" t="s">
        <v>459</v>
      </c>
      <c r="J541" s="315" t="s">
        <v>16</v>
      </c>
      <c r="K541" s="315" t="s">
        <v>463</v>
      </c>
      <c r="L541" s="315" t="s">
        <v>460</v>
      </c>
      <c r="M541" s="315" t="s">
        <v>18</v>
      </c>
      <c r="N541" s="315" t="s">
        <v>735</v>
      </c>
    </row>
    <row r="542" spans="1:14" ht="21" customHeight="1">
      <c r="A542" s="488" t="s">
        <v>1388</v>
      </c>
      <c r="B542" s="343"/>
      <c r="C542" s="316" t="s">
        <v>736</v>
      </c>
      <c r="D542" s="317">
        <v>164</v>
      </c>
      <c r="E542" s="318"/>
      <c r="F542" s="318" t="s">
        <v>1375</v>
      </c>
      <c r="G542" s="318" t="s">
        <v>1377</v>
      </c>
      <c r="H542" s="318" t="s">
        <v>1398</v>
      </c>
      <c r="I542" s="319" t="s">
        <v>737</v>
      </c>
      <c r="J542" s="320"/>
      <c r="K542" s="321"/>
      <c r="L542" s="320" t="s">
        <v>1456</v>
      </c>
      <c r="M542" s="321"/>
      <c r="N542" s="320"/>
    </row>
    <row r="543" spans="1:14" ht="21" customHeight="1">
      <c r="A543" s="489"/>
      <c r="B543" s="292" t="s">
        <v>1397</v>
      </c>
      <c r="C543" s="318" t="s">
        <v>738</v>
      </c>
      <c r="D543" s="317">
        <v>143</v>
      </c>
      <c r="E543" s="317"/>
      <c r="F543" s="318"/>
      <c r="G543" s="318"/>
      <c r="H543" s="318"/>
      <c r="I543" s="322" t="s">
        <v>739</v>
      </c>
      <c r="J543" s="323" t="s">
        <v>815</v>
      </c>
      <c r="K543" s="323" t="s">
        <v>815</v>
      </c>
      <c r="L543" s="323" t="s">
        <v>815</v>
      </c>
      <c r="M543" s="323" t="s">
        <v>815</v>
      </c>
      <c r="N543" s="324"/>
    </row>
    <row r="544" spans="1:14" ht="21" customHeight="1">
      <c r="A544" s="489"/>
      <c r="B544" s="292" t="s">
        <v>747</v>
      </c>
      <c r="C544" s="318" t="s">
        <v>740</v>
      </c>
      <c r="D544" s="318">
        <v>150</v>
      </c>
      <c r="E544" s="318"/>
      <c r="F544" s="318"/>
      <c r="G544" s="318"/>
      <c r="H544" s="318"/>
      <c r="I544" s="322" t="s">
        <v>741</v>
      </c>
      <c r="J544" s="325" t="s">
        <v>1055</v>
      </c>
      <c r="K544" s="325" t="s">
        <v>1056</v>
      </c>
      <c r="L544" s="325" t="s">
        <v>1056</v>
      </c>
      <c r="M544" s="326" t="s">
        <v>1058</v>
      </c>
      <c r="N544" s="323"/>
    </row>
    <row r="545" spans="1:14" ht="21" customHeight="1">
      <c r="A545" s="490"/>
      <c r="B545" s="293"/>
      <c r="C545" s="327" t="s">
        <v>742</v>
      </c>
      <c r="D545" s="328">
        <f>SUM(D542:D544)</f>
        <v>457</v>
      </c>
      <c r="E545" s="329"/>
      <c r="F545" s="329"/>
      <c r="G545" s="329"/>
      <c r="H545" s="329"/>
      <c r="I545" s="322" t="s">
        <v>743</v>
      </c>
      <c r="J545" s="325" t="s">
        <v>1059</v>
      </c>
      <c r="K545" s="326" t="s">
        <v>1057</v>
      </c>
      <c r="L545" s="326" t="s">
        <v>1057</v>
      </c>
      <c r="M545" s="326" t="s">
        <v>1057</v>
      </c>
      <c r="N545" s="323"/>
    </row>
    <row r="546" spans="1:14" ht="21" customHeight="1">
      <c r="A546" s="323" t="s">
        <v>744</v>
      </c>
      <c r="B546" s="330"/>
      <c r="C546" s="331"/>
      <c r="D546" s="332"/>
      <c r="E546" s="332" t="s">
        <v>1379</v>
      </c>
      <c r="F546" s="332"/>
      <c r="G546" s="332"/>
      <c r="H546" s="332"/>
      <c r="I546" s="322" t="s">
        <v>745</v>
      </c>
      <c r="J546" s="294" t="s">
        <v>749</v>
      </c>
      <c r="K546" s="294" t="s">
        <v>749</v>
      </c>
      <c r="L546" s="294" t="s">
        <v>749</v>
      </c>
      <c r="M546" s="294"/>
      <c r="N546" s="323"/>
    </row>
    <row r="547" spans="1:14" ht="21" customHeight="1">
      <c r="A547" s="491" t="s">
        <v>746</v>
      </c>
      <c r="B547" s="333" t="s">
        <v>1457</v>
      </c>
      <c r="C547" s="334"/>
      <c r="D547" s="334"/>
      <c r="E547" s="334"/>
      <c r="F547" s="334"/>
      <c r="G547" s="334"/>
      <c r="H547" s="334"/>
      <c r="I547" s="334"/>
      <c r="J547" s="335"/>
      <c r="K547" s="336"/>
      <c r="L547" s="336"/>
      <c r="M547" s="336"/>
      <c r="N547" s="309"/>
    </row>
    <row r="548" spans="1:14" ht="21" customHeight="1">
      <c r="A548" s="492"/>
      <c r="B548" s="307" t="s">
        <v>1458</v>
      </c>
      <c r="C548" s="334"/>
      <c r="D548" s="334"/>
      <c r="E548" s="334"/>
      <c r="F548" s="334"/>
      <c r="G548" s="334"/>
      <c r="H548" s="334"/>
      <c r="I548" s="334"/>
      <c r="J548" s="334"/>
      <c r="K548" s="334"/>
      <c r="L548" s="334"/>
      <c r="M548" s="334"/>
      <c r="N548" s="337"/>
    </row>
    <row r="549" spans="1:14" ht="21" customHeight="1">
      <c r="A549" s="492"/>
      <c r="B549" s="307"/>
      <c r="C549" s="308"/>
      <c r="D549" s="308"/>
      <c r="E549" s="308"/>
      <c r="F549" s="308"/>
      <c r="G549" s="308"/>
      <c r="H549" s="308"/>
      <c r="I549" s="308"/>
      <c r="J549" s="308"/>
      <c r="K549" s="308"/>
      <c r="L549" s="308"/>
      <c r="M549" s="308"/>
      <c r="N549" s="309"/>
    </row>
    <row r="550" spans="1:14" ht="21" customHeight="1">
      <c r="A550" s="492"/>
      <c r="B550" s="307"/>
      <c r="C550" s="308"/>
      <c r="D550" s="308"/>
      <c r="E550" s="308"/>
      <c r="F550" s="308"/>
      <c r="G550" s="308"/>
      <c r="H550" s="308"/>
      <c r="I550" s="308"/>
      <c r="J550" s="308"/>
      <c r="K550" s="308"/>
      <c r="L550" s="308"/>
      <c r="M550" s="308"/>
      <c r="N550" s="309"/>
    </row>
    <row r="551" spans="1:14" ht="21" customHeight="1">
      <c r="A551" s="493"/>
      <c r="B551" s="338"/>
      <c r="C551" s="334"/>
      <c r="D551" s="334"/>
      <c r="E551" s="334"/>
      <c r="F551" s="334"/>
      <c r="G551" s="334"/>
      <c r="H551" s="334"/>
      <c r="I551" s="334"/>
      <c r="J551" s="334"/>
      <c r="K551" s="334"/>
      <c r="L551" s="334"/>
      <c r="M551" s="334"/>
      <c r="N551" s="339"/>
    </row>
    <row r="554" spans="1:14" ht="21" customHeight="1">
      <c r="A554" s="310" t="s">
        <v>727</v>
      </c>
      <c r="B554" s="310" t="s">
        <v>728</v>
      </c>
      <c r="C554" s="310" t="s">
        <v>729</v>
      </c>
      <c r="D554" s="311" t="s">
        <v>730</v>
      </c>
      <c r="E554" s="312" t="s">
        <v>731</v>
      </c>
      <c r="F554" s="313" t="s">
        <v>732</v>
      </c>
      <c r="G554" s="313" t="s">
        <v>733</v>
      </c>
      <c r="H554" s="313" t="s">
        <v>734</v>
      </c>
      <c r="I554" s="314" t="s">
        <v>459</v>
      </c>
      <c r="J554" s="315" t="s">
        <v>16</v>
      </c>
      <c r="K554" s="315" t="s">
        <v>463</v>
      </c>
      <c r="L554" s="315" t="s">
        <v>460</v>
      </c>
      <c r="M554" s="315" t="s">
        <v>18</v>
      </c>
      <c r="N554" s="315" t="s">
        <v>735</v>
      </c>
    </row>
    <row r="555" spans="1:14" ht="21" customHeight="1">
      <c r="A555" s="488" t="s">
        <v>1388</v>
      </c>
      <c r="B555" s="343"/>
      <c r="C555" s="316" t="s">
        <v>736</v>
      </c>
      <c r="D555" s="317">
        <v>235</v>
      </c>
      <c r="E555" s="318"/>
      <c r="F555" s="318" t="s">
        <v>1375</v>
      </c>
      <c r="G555" s="318" t="s">
        <v>1400</v>
      </c>
      <c r="H555" s="318" t="s">
        <v>1377</v>
      </c>
      <c r="I555" s="319" t="s">
        <v>737</v>
      </c>
      <c r="J555" s="320" t="s">
        <v>1459</v>
      </c>
      <c r="K555" s="321" t="s">
        <v>1460</v>
      </c>
      <c r="L555" s="320"/>
      <c r="M555" s="321" t="s">
        <v>1461</v>
      </c>
      <c r="N555" s="320"/>
    </row>
    <row r="556" spans="1:14" ht="21" customHeight="1">
      <c r="A556" s="489"/>
      <c r="B556" s="292" t="s">
        <v>1399</v>
      </c>
      <c r="C556" s="318" t="s">
        <v>738</v>
      </c>
      <c r="D556" s="317">
        <v>197</v>
      </c>
      <c r="E556" s="317"/>
      <c r="F556" s="318"/>
      <c r="G556" s="318"/>
      <c r="H556" s="318"/>
      <c r="I556" s="322" t="s">
        <v>739</v>
      </c>
      <c r="J556" s="323" t="s">
        <v>815</v>
      </c>
      <c r="K556" s="323" t="s">
        <v>815</v>
      </c>
      <c r="L556" s="323" t="s">
        <v>815</v>
      </c>
      <c r="M556" s="323" t="s">
        <v>815</v>
      </c>
      <c r="N556" s="324"/>
    </row>
    <row r="557" spans="1:14" ht="21" customHeight="1">
      <c r="A557" s="489"/>
      <c r="B557" s="292" t="s">
        <v>1381</v>
      </c>
      <c r="C557" s="318" t="s">
        <v>740</v>
      </c>
      <c r="D557" s="318">
        <v>222</v>
      </c>
      <c r="E557" s="318"/>
      <c r="F557" s="318"/>
      <c r="G557" s="318"/>
      <c r="H557" s="318"/>
      <c r="I557" s="322" t="s">
        <v>741</v>
      </c>
      <c r="J557" s="325" t="s">
        <v>1055</v>
      </c>
      <c r="K557" s="325" t="s">
        <v>1056</v>
      </c>
      <c r="L557" s="325" t="s">
        <v>1056</v>
      </c>
      <c r="M557" s="326" t="s">
        <v>1058</v>
      </c>
      <c r="N557" s="323"/>
    </row>
    <row r="558" spans="1:14" ht="21" customHeight="1">
      <c r="A558" s="490"/>
      <c r="B558" s="293"/>
      <c r="C558" s="327" t="s">
        <v>742</v>
      </c>
      <c r="D558" s="328">
        <f>SUM(D555:D557)</f>
        <v>654</v>
      </c>
      <c r="E558" s="329"/>
      <c r="F558" s="329"/>
      <c r="G558" s="329"/>
      <c r="H558" s="329"/>
      <c r="I558" s="322" t="s">
        <v>743</v>
      </c>
      <c r="J558" s="325" t="s">
        <v>1059</v>
      </c>
      <c r="K558" s="326" t="s">
        <v>1057</v>
      </c>
      <c r="L558" s="326" t="s">
        <v>1057</v>
      </c>
      <c r="M558" s="326" t="s">
        <v>1057</v>
      </c>
      <c r="N558" s="323"/>
    </row>
    <row r="559" spans="1:14" ht="21" customHeight="1">
      <c r="A559" s="323" t="s">
        <v>744</v>
      </c>
      <c r="B559" s="330"/>
      <c r="C559" s="331"/>
      <c r="D559" s="332"/>
      <c r="E559" s="332" t="s">
        <v>1379</v>
      </c>
      <c r="F559" s="332"/>
      <c r="G559" s="332"/>
      <c r="H559" s="332"/>
      <c r="I559" s="322" t="s">
        <v>745</v>
      </c>
      <c r="J559" s="294" t="s">
        <v>749</v>
      </c>
      <c r="K559" s="294" t="s">
        <v>749</v>
      </c>
      <c r="L559" s="294" t="s">
        <v>749</v>
      </c>
      <c r="M559" s="294"/>
      <c r="N559" s="323"/>
    </row>
    <row r="560" spans="1:14" ht="21" customHeight="1">
      <c r="A560" s="491" t="s">
        <v>746</v>
      </c>
      <c r="B560" s="333" t="s">
        <v>1462</v>
      </c>
      <c r="C560" s="334"/>
      <c r="D560" s="334"/>
      <c r="E560" s="334"/>
      <c r="F560" s="334"/>
      <c r="G560" s="334"/>
      <c r="H560" s="334"/>
      <c r="I560" s="334"/>
      <c r="J560" s="335"/>
      <c r="K560" s="336"/>
      <c r="L560" s="336"/>
      <c r="M560" s="336"/>
      <c r="N560" s="309"/>
    </row>
    <row r="561" spans="1:14" ht="21" customHeight="1">
      <c r="A561" s="492"/>
      <c r="B561" s="307" t="s">
        <v>1463</v>
      </c>
      <c r="C561" s="334"/>
      <c r="D561" s="334"/>
      <c r="E561" s="334"/>
      <c r="F561" s="334"/>
      <c r="G561" s="334"/>
      <c r="H561" s="334"/>
      <c r="I561" s="334"/>
      <c r="J561" s="334"/>
      <c r="K561" s="334"/>
      <c r="L561" s="334"/>
      <c r="M561" s="334"/>
      <c r="N561" s="337"/>
    </row>
    <row r="562" spans="1:14" ht="21" customHeight="1">
      <c r="A562" s="492"/>
      <c r="B562" s="307" t="s">
        <v>1464</v>
      </c>
      <c r="C562" s="308"/>
      <c r="D562" s="308"/>
      <c r="E562" s="308"/>
      <c r="F562" s="308"/>
      <c r="G562" s="308"/>
      <c r="H562" s="308"/>
      <c r="I562" s="308"/>
      <c r="J562" s="308"/>
      <c r="K562" s="308"/>
      <c r="L562" s="308"/>
      <c r="M562" s="308"/>
      <c r="N562" s="309"/>
    </row>
    <row r="563" spans="1:14" ht="21" customHeight="1">
      <c r="A563" s="492"/>
      <c r="B563" s="307" t="s">
        <v>1465</v>
      </c>
      <c r="C563" s="308"/>
      <c r="D563" s="308"/>
      <c r="E563" s="308"/>
      <c r="F563" s="308"/>
      <c r="G563" s="308"/>
      <c r="H563" s="308"/>
      <c r="I563" s="308"/>
      <c r="J563" s="308"/>
      <c r="K563" s="308"/>
      <c r="L563" s="308"/>
      <c r="M563" s="308"/>
      <c r="N563" s="309"/>
    </row>
    <row r="564" spans="1:14" ht="21" customHeight="1">
      <c r="A564" s="493"/>
      <c r="B564" s="338"/>
      <c r="C564" s="334"/>
      <c r="D564" s="334"/>
      <c r="E564" s="334"/>
      <c r="F564" s="334"/>
      <c r="G564" s="334"/>
      <c r="H564" s="334"/>
      <c r="I564" s="334"/>
      <c r="J564" s="334"/>
      <c r="K564" s="334"/>
      <c r="L564" s="334"/>
      <c r="M564" s="334"/>
      <c r="N564" s="339"/>
    </row>
    <row r="567" spans="1:14" ht="21" customHeight="1">
      <c r="A567" s="310" t="s">
        <v>727</v>
      </c>
      <c r="B567" s="310" t="s">
        <v>728</v>
      </c>
      <c r="C567" s="310" t="s">
        <v>729</v>
      </c>
      <c r="D567" s="311" t="s">
        <v>730</v>
      </c>
      <c r="E567" s="312" t="s">
        <v>731</v>
      </c>
      <c r="F567" s="313" t="s">
        <v>732</v>
      </c>
      <c r="G567" s="313" t="s">
        <v>733</v>
      </c>
      <c r="H567" s="313" t="s">
        <v>734</v>
      </c>
      <c r="I567" s="314" t="s">
        <v>459</v>
      </c>
      <c r="J567" s="315" t="s">
        <v>16</v>
      </c>
      <c r="K567" s="315" t="s">
        <v>463</v>
      </c>
      <c r="L567" s="315" t="s">
        <v>460</v>
      </c>
      <c r="M567" s="315" t="s">
        <v>18</v>
      </c>
      <c r="N567" s="315" t="s">
        <v>735</v>
      </c>
    </row>
    <row r="568" spans="1:14" ht="21" customHeight="1">
      <c r="A568" s="488" t="s">
        <v>1388</v>
      </c>
      <c r="B568" s="343"/>
      <c r="C568" s="316" t="s">
        <v>736</v>
      </c>
      <c r="D568" s="317">
        <v>237</v>
      </c>
      <c r="E568" s="318" t="s">
        <v>1377</v>
      </c>
      <c r="F568" s="318" t="s">
        <v>1389</v>
      </c>
      <c r="G568" s="318"/>
      <c r="H568" s="318" t="s">
        <v>1390</v>
      </c>
      <c r="I568" s="319" t="s">
        <v>737</v>
      </c>
      <c r="J568" s="320" t="s">
        <v>1466</v>
      </c>
      <c r="K568" s="321"/>
      <c r="L568" s="320" t="s">
        <v>1467</v>
      </c>
      <c r="M568" s="321" t="s">
        <v>1468</v>
      </c>
      <c r="N568" s="320"/>
    </row>
    <row r="569" spans="1:14" ht="21" customHeight="1">
      <c r="A569" s="489"/>
      <c r="B569" s="292" t="s">
        <v>1401</v>
      </c>
      <c r="C569" s="318" t="s">
        <v>738</v>
      </c>
      <c r="D569" s="317">
        <v>219</v>
      </c>
      <c r="E569" s="317"/>
      <c r="F569" s="318"/>
      <c r="G569" s="318"/>
      <c r="H569" s="318"/>
      <c r="I569" s="322" t="s">
        <v>739</v>
      </c>
      <c r="J569" s="323" t="s">
        <v>815</v>
      </c>
      <c r="K569" s="323" t="s">
        <v>815</v>
      </c>
      <c r="L569" s="323" t="s">
        <v>815</v>
      </c>
      <c r="M569" s="323" t="s">
        <v>815</v>
      </c>
      <c r="N569" s="324"/>
    </row>
    <row r="570" spans="1:14" ht="21" customHeight="1">
      <c r="A570" s="489"/>
      <c r="B570" s="292" t="s">
        <v>793</v>
      </c>
      <c r="C570" s="318" t="s">
        <v>740</v>
      </c>
      <c r="D570" s="318">
        <v>206</v>
      </c>
      <c r="E570" s="318"/>
      <c r="F570" s="318"/>
      <c r="G570" s="318"/>
      <c r="H570" s="318"/>
      <c r="I570" s="322" t="s">
        <v>741</v>
      </c>
      <c r="J570" s="325" t="s">
        <v>1055</v>
      </c>
      <c r="K570" s="325" t="s">
        <v>1056</v>
      </c>
      <c r="L570" s="325" t="s">
        <v>1056</v>
      </c>
      <c r="M570" s="326" t="s">
        <v>1058</v>
      </c>
      <c r="N570" s="323"/>
    </row>
    <row r="571" spans="1:14" ht="21" customHeight="1">
      <c r="A571" s="490"/>
      <c r="B571" s="293"/>
      <c r="C571" s="327" t="s">
        <v>742</v>
      </c>
      <c r="D571" s="328">
        <f>SUM(D568:D570)</f>
        <v>662</v>
      </c>
      <c r="E571" s="329"/>
      <c r="F571" s="329"/>
      <c r="G571" s="329"/>
      <c r="H571" s="329"/>
      <c r="I571" s="322" t="s">
        <v>743</v>
      </c>
      <c r="J571" s="325" t="s">
        <v>1059</v>
      </c>
      <c r="K571" s="326" t="s">
        <v>1057</v>
      </c>
      <c r="L571" s="326" t="s">
        <v>1057</v>
      </c>
      <c r="M571" s="326" t="s">
        <v>1057</v>
      </c>
      <c r="N571" s="323"/>
    </row>
    <row r="572" spans="1:14" ht="21" customHeight="1">
      <c r="A572" s="323" t="s">
        <v>744</v>
      </c>
      <c r="B572" s="330"/>
      <c r="C572" s="331"/>
      <c r="D572" s="332"/>
      <c r="E572" s="332"/>
      <c r="F572" s="332"/>
      <c r="G572" s="332" t="s">
        <v>1379</v>
      </c>
      <c r="H572" s="332"/>
      <c r="I572" s="322" t="s">
        <v>745</v>
      </c>
      <c r="J572" s="294" t="s">
        <v>749</v>
      </c>
      <c r="K572" s="294" t="s">
        <v>749</v>
      </c>
      <c r="L572" s="294" t="s">
        <v>749</v>
      </c>
      <c r="M572" s="294"/>
      <c r="N572" s="323"/>
    </row>
    <row r="573" spans="1:14" ht="21" customHeight="1">
      <c r="A573" s="491" t="s">
        <v>746</v>
      </c>
      <c r="B573" s="333" t="s">
        <v>1469</v>
      </c>
      <c r="C573" s="334"/>
      <c r="D573" s="334"/>
      <c r="E573" s="334"/>
      <c r="F573" s="334"/>
      <c r="G573" s="334"/>
      <c r="H573" s="334"/>
      <c r="I573" s="334"/>
      <c r="J573" s="335"/>
      <c r="K573" s="336"/>
      <c r="L573" s="336"/>
      <c r="M573" s="336"/>
      <c r="N573" s="309"/>
    </row>
    <row r="574" spans="1:14" ht="21" customHeight="1">
      <c r="A574" s="492"/>
      <c r="B574" s="307" t="s">
        <v>1470</v>
      </c>
      <c r="C574" s="334"/>
      <c r="D574" s="334"/>
      <c r="E574" s="334"/>
      <c r="F574" s="334"/>
      <c r="G574" s="334"/>
      <c r="H574" s="334"/>
      <c r="I574" s="334"/>
      <c r="J574" s="334"/>
      <c r="K574" s="334"/>
      <c r="L574" s="334"/>
      <c r="M574" s="334"/>
      <c r="N574" s="337"/>
    </row>
    <row r="575" spans="1:14" ht="21" customHeight="1">
      <c r="A575" s="492"/>
      <c r="B575" s="307"/>
      <c r="C575" s="308"/>
      <c r="D575" s="308"/>
      <c r="E575" s="308"/>
      <c r="F575" s="308"/>
      <c r="G575" s="308"/>
      <c r="H575" s="308"/>
      <c r="I575" s="308"/>
      <c r="J575" s="308"/>
      <c r="K575" s="308"/>
      <c r="L575" s="308"/>
      <c r="M575" s="308"/>
      <c r="N575" s="309"/>
    </row>
    <row r="576" spans="1:14" ht="21" customHeight="1">
      <c r="A576" s="492"/>
      <c r="B576" s="307"/>
      <c r="C576" s="308"/>
      <c r="D576" s="308"/>
      <c r="E576" s="308"/>
      <c r="F576" s="308"/>
      <c r="G576" s="308"/>
      <c r="H576" s="308"/>
      <c r="I576" s="308"/>
      <c r="J576" s="308"/>
      <c r="K576" s="308"/>
      <c r="L576" s="308"/>
      <c r="M576" s="308"/>
      <c r="N576" s="309"/>
    </row>
    <row r="577" spans="1:14" ht="21" customHeight="1">
      <c r="A577" s="493"/>
      <c r="B577" s="338"/>
      <c r="C577" s="334"/>
      <c r="D577" s="334"/>
      <c r="E577" s="334"/>
      <c r="F577" s="334"/>
      <c r="G577" s="334"/>
      <c r="H577" s="334"/>
      <c r="I577" s="334"/>
      <c r="J577" s="334"/>
      <c r="K577" s="334"/>
      <c r="L577" s="334"/>
      <c r="M577" s="334"/>
      <c r="N577" s="339"/>
    </row>
    <row r="578" spans="1:14" ht="21" customHeight="1">
      <c r="A578" s="299"/>
      <c r="B578" s="300"/>
      <c r="C578" s="300"/>
      <c r="D578" s="300"/>
      <c r="E578" s="300"/>
      <c r="F578" s="300"/>
      <c r="G578" s="300"/>
      <c r="H578" s="300"/>
      <c r="I578" s="300"/>
      <c r="J578" s="300"/>
      <c r="K578" s="300"/>
      <c r="L578" s="300"/>
      <c r="M578" s="300"/>
      <c r="N578" s="300"/>
    </row>
    <row r="579" spans="1:14" ht="21" customHeight="1">
      <c r="A579" s="299"/>
      <c r="B579" s="300"/>
      <c r="C579" s="300"/>
      <c r="D579" s="300"/>
      <c r="E579" s="300"/>
      <c r="F579" s="300"/>
      <c r="G579" s="300"/>
      <c r="H579" s="300"/>
      <c r="I579" s="300"/>
      <c r="J579" s="300"/>
      <c r="K579" s="300"/>
      <c r="L579" s="300"/>
      <c r="M579" s="300"/>
      <c r="N579" s="300"/>
    </row>
    <row r="580" spans="1:14" ht="21" customHeight="1">
      <c r="A580" s="310" t="s">
        <v>727</v>
      </c>
      <c r="B580" s="310" t="s">
        <v>728</v>
      </c>
      <c r="C580" s="310" t="s">
        <v>729</v>
      </c>
      <c r="D580" s="311" t="s">
        <v>730</v>
      </c>
      <c r="E580" s="312" t="s">
        <v>731</v>
      </c>
      <c r="F580" s="313" t="s">
        <v>732</v>
      </c>
      <c r="G580" s="313" t="s">
        <v>733</v>
      </c>
      <c r="H580" s="313" t="s">
        <v>734</v>
      </c>
      <c r="I580" s="314" t="s">
        <v>459</v>
      </c>
      <c r="J580" s="315" t="s">
        <v>16</v>
      </c>
      <c r="K580" s="315" t="s">
        <v>463</v>
      </c>
      <c r="L580" s="315" t="s">
        <v>460</v>
      </c>
      <c r="M580" s="315" t="s">
        <v>18</v>
      </c>
      <c r="N580" s="315" t="s">
        <v>735</v>
      </c>
    </row>
    <row r="581" spans="1:14" ht="21" customHeight="1">
      <c r="A581" s="488"/>
      <c r="B581" s="343"/>
      <c r="C581" s="316" t="s">
        <v>736</v>
      </c>
      <c r="D581" s="317"/>
      <c r="E581" s="318"/>
      <c r="F581" s="318"/>
      <c r="G581" s="318"/>
      <c r="H581" s="318"/>
      <c r="I581" s="319" t="s">
        <v>737</v>
      </c>
      <c r="J581" s="320"/>
      <c r="K581" s="321"/>
      <c r="L581" s="320"/>
      <c r="M581" s="321"/>
      <c r="N581" s="320"/>
    </row>
    <row r="582" spans="1:14" ht="21" customHeight="1">
      <c r="A582" s="489"/>
      <c r="B582" s="292"/>
      <c r="C582" s="318" t="s">
        <v>738</v>
      </c>
      <c r="D582" s="317"/>
      <c r="E582" s="317"/>
      <c r="F582" s="318"/>
      <c r="G582" s="318"/>
      <c r="H582" s="318"/>
      <c r="I582" s="322" t="s">
        <v>739</v>
      </c>
      <c r="J582" s="323" t="s">
        <v>815</v>
      </c>
      <c r="K582" s="323" t="s">
        <v>815</v>
      </c>
      <c r="L582" s="323" t="s">
        <v>815</v>
      </c>
      <c r="M582" s="323" t="s">
        <v>815</v>
      </c>
      <c r="N582" s="324"/>
    </row>
    <row r="583" spans="1:14" ht="21" customHeight="1">
      <c r="A583" s="489"/>
      <c r="B583" s="292" t="s">
        <v>747</v>
      </c>
      <c r="C583" s="318" t="s">
        <v>740</v>
      </c>
      <c r="D583" s="318"/>
      <c r="E583" s="318"/>
      <c r="F583" s="318"/>
      <c r="G583" s="318"/>
      <c r="H583" s="318"/>
      <c r="I583" s="322" t="s">
        <v>741</v>
      </c>
      <c r="J583" s="325" t="s">
        <v>1055</v>
      </c>
      <c r="K583" s="325" t="s">
        <v>1056</v>
      </c>
      <c r="L583" s="325" t="s">
        <v>1056</v>
      </c>
      <c r="M583" s="326" t="s">
        <v>1058</v>
      </c>
      <c r="N583" s="323"/>
    </row>
    <row r="584" spans="1:14" ht="21" customHeight="1">
      <c r="A584" s="490"/>
      <c r="B584" s="293"/>
      <c r="C584" s="327" t="s">
        <v>742</v>
      </c>
      <c r="D584" s="328">
        <f>SUM(D581:D583)</f>
        <v>0</v>
      </c>
      <c r="E584" s="329"/>
      <c r="F584" s="329"/>
      <c r="G584" s="329"/>
      <c r="H584" s="329"/>
      <c r="I584" s="322" t="s">
        <v>743</v>
      </c>
      <c r="J584" s="325" t="s">
        <v>1059</v>
      </c>
      <c r="K584" s="326" t="s">
        <v>1057</v>
      </c>
      <c r="L584" s="326" t="s">
        <v>1057</v>
      </c>
      <c r="M584" s="326" t="s">
        <v>1057</v>
      </c>
      <c r="N584" s="323"/>
    </row>
    <row r="585" spans="1:14" ht="21" customHeight="1">
      <c r="A585" s="323" t="s">
        <v>744</v>
      </c>
      <c r="B585" s="330"/>
      <c r="C585" s="331"/>
      <c r="D585" s="332"/>
      <c r="E585" s="332"/>
      <c r="F585" s="332"/>
      <c r="G585" s="332"/>
      <c r="H585" s="332"/>
      <c r="I585" s="322" t="s">
        <v>745</v>
      </c>
      <c r="J585" s="294" t="s">
        <v>749</v>
      </c>
      <c r="K585" s="294" t="s">
        <v>749</v>
      </c>
      <c r="L585" s="294" t="s">
        <v>749</v>
      </c>
      <c r="M585" s="294"/>
      <c r="N585" s="323"/>
    </row>
    <row r="586" spans="1:14" ht="21" customHeight="1">
      <c r="A586" s="491" t="s">
        <v>746</v>
      </c>
      <c r="B586" s="333"/>
      <c r="C586" s="334"/>
      <c r="D586" s="334"/>
      <c r="E586" s="334"/>
      <c r="F586" s="334"/>
      <c r="G586" s="334"/>
      <c r="H586" s="334"/>
      <c r="I586" s="334"/>
      <c r="J586" s="335"/>
      <c r="K586" s="336"/>
      <c r="L586" s="336"/>
      <c r="M586" s="336"/>
      <c r="N586" s="309"/>
    </row>
    <row r="587" spans="1:14" ht="21" customHeight="1">
      <c r="A587" s="492"/>
      <c r="B587" s="307"/>
      <c r="C587" s="334"/>
      <c r="D587" s="334"/>
      <c r="E587" s="334"/>
      <c r="F587" s="334"/>
      <c r="G587" s="334"/>
      <c r="H587" s="334"/>
      <c r="I587" s="334"/>
      <c r="J587" s="334"/>
      <c r="K587" s="334"/>
      <c r="L587" s="334"/>
      <c r="M587" s="334"/>
      <c r="N587" s="337"/>
    </row>
    <row r="588" spans="1:14" ht="21" customHeight="1">
      <c r="A588" s="492"/>
      <c r="B588" s="307"/>
      <c r="C588" s="308"/>
      <c r="D588" s="308"/>
      <c r="E588" s="308"/>
      <c r="F588" s="308"/>
      <c r="G588" s="308"/>
      <c r="H588" s="308"/>
      <c r="I588" s="308"/>
      <c r="J588" s="308"/>
      <c r="K588" s="308"/>
      <c r="L588" s="308"/>
      <c r="M588" s="308"/>
      <c r="N588" s="309"/>
    </row>
    <row r="589" spans="1:14" ht="21" customHeight="1">
      <c r="A589" s="492"/>
      <c r="B589" s="307"/>
      <c r="C589" s="308"/>
      <c r="D589" s="308"/>
      <c r="E589" s="308"/>
      <c r="F589" s="308"/>
      <c r="G589" s="308"/>
      <c r="H589" s="308"/>
      <c r="I589" s="308"/>
      <c r="J589" s="308"/>
      <c r="K589" s="308"/>
      <c r="L589" s="308"/>
      <c r="M589" s="308"/>
      <c r="N589" s="309"/>
    </row>
    <row r="590" spans="1:14" ht="21" customHeight="1">
      <c r="A590" s="493"/>
      <c r="B590" s="338"/>
      <c r="C590" s="334"/>
      <c r="D590" s="334"/>
      <c r="E590" s="334"/>
      <c r="F590" s="334"/>
      <c r="G590" s="334"/>
      <c r="H590" s="334"/>
      <c r="I590" s="334"/>
      <c r="J590" s="334"/>
      <c r="K590" s="334"/>
      <c r="L590" s="334"/>
      <c r="M590" s="334"/>
      <c r="N590" s="339"/>
    </row>
    <row r="591" spans="1:14" ht="21" customHeight="1">
      <c r="A591" s="299"/>
      <c r="B591" s="300"/>
      <c r="C591" s="300"/>
      <c r="D591" s="300"/>
      <c r="E591" s="300"/>
      <c r="F591" s="300"/>
      <c r="G591" s="300"/>
      <c r="H591" s="300"/>
      <c r="I591" s="300"/>
      <c r="J591" s="300"/>
      <c r="K591" s="300"/>
      <c r="L591" s="300"/>
      <c r="M591" s="300"/>
      <c r="N591" s="300"/>
    </row>
    <row r="592" spans="1:14" ht="21" customHeight="1">
      <c r="A592" s="310" t="s">
        <v>727</v>
      </c>
      <c r="B592" s="310" t="s">
        <v>728</v>
      </c>
      <c r="C592" s="310" t="s">
        <v>729</v>
      </c>
      <c r="D592" s="311" t="s">
        <v>730</v>
      </c>
      <c r="E592" s="312" t="s">
        <v>731</v>
      </c>
      <c r="F592" s="313" t="s">
        <v>732</v>
      </c>
      <c r="G592" s="313" t="s">
        <v>733</v>
      </c>
      <c r="H592" s="313" t="s">
        <v>734</v>
      </c>
      <c r="I592" s="314" t="s">
        <v>459</v>
      </c>
      <c r="J592" s="315" t="s">
        <v>16</v>
      </c>
      <c r="K592" s="315" t="s">
        <v>463</v>
      </c>
      <c r="L592" s="315" t="s">
        <v>460</v>
      </c>
      <c r="M592" s="315" t="s">
        <v>18</v>
      </c>
      <c r="N592" s="315" t="s">
        <v>735</v>
      </c>
    </row>
    <row r="593" spans="1:14" ht="21" customHeight="1">
      <c r="A593" s="488"/>
      <c r="B593" s="343"/>
      <c r="C593" s="316" t="s">
        <v>736</v>
      </c>
      <c r="D593" s="317"/>
      <c r="E593" s="318"/>
      <c r="F593" s="318"/>
      <c r="G593" s="318"/>
      <c r="H593" s="318"/>
      <c r="I593" s="319" t="s">
        <v>737</v>
      </c>
      <c r="J593" s="320"/>
      <c r="K593" s="321"/>
      <c r="L593" s="320"/>
      <c r="M593" s="321"/>
      <c r="N593" s="320"/>
    </row>
    <row r="594" spans="1:14" ht="21" customHeight="1">
      <c r="A594" s="489"/>
      <c r="B594" s="292"/>
      <c r="C594" s="318" t="s">
        <v>738</v>
      </c>
      <c r="D594" s="317"/>
      <c r="E594" s="317"/>
      <c r="F594" s="318"/>
      <c r="G594" s="318"/>
      <c r="H594" s="318"/>
      <c r="I594" s="322" t="s">
        <v>739</v>
      </c>
      <c r="J594" s="323" t="s">
        <v>815</v>
      </c>
      <c r="K594" s="323" t="s">
        <v>815</v>
      </c>
      <c r="L594" s="323" t="s">
        <v>815</v>
      </c>
      <c r="M594" s="323" t="s">
        <v>815</v>
      </c>
      <c r="N594" s="324"/>
    </row>
    <row r="595" spans="1:14" ht="21" customHeight="1">
      <c r="A595" s="489"/>
      <c r="B595" s="292" t="s">
        <v>747</v>
      </c>
      <c r="C595" s="318" t="s">
        <v>740</v>
      </c>
      <c r="D595" s="318"/>
      <c r="E595" s="318"/>
      <c r="F595" s="318"/>
      <c r="G595" s="318"/>
      <c r="H595" s="318"/>
      <c r="I595" s="322" t="s">
        <v>741</v>
      </c>
      <c r="J595" s="325" t="s">
        <v>1055</v>
      </c>
      <c r="K595" s="325" t="s">
        <v>1056</v>
      </c>
      <c r="L595" s="325" t="s">
        <v>1056</v>
      </c>
      <c r="M595" s="326" t="s">
        <v>1058</v>
      </c>
      <c r="N595" s="323"/>
    </row>
    <row r="596" spans="1:14" ht="21" customHeight="1">
      <c r="A596" s="490"/>
      <c r="B596" s="293"/>
      <c r="C596" s="327" t="s">
        <v>742</v>
      </c>
      <c r="D596" s="328">
        <f>SUM(D593:D595)</f>
        <v>0</v>
      </c>
      <c r="E596" s="329"/>
      <c r="F596" s="329"/>
      <c r="G596" s="329"/>
      <c r="H596" s="329"/>
      <c r="I596" s="322" t="s">
        <v>743</v>
      </c>
      <c r="J596" s="325" t="s">
        <v>1059</v>
      </c>
      <c r="K596" s="326" t="s">
        <v>1057</v>
      </c>
      <c r="L596" s="326" t="s">
        <v>1057</v>
      </c>
      <c r="M596" s="326" t="s">
        <v>1057</v>
      </c>
      <c r="N596" s="323"/>
    </row>
    <row r="597" spans="1:14" ht="21" customHeight="1">
      <c r="A597" s="323" t="s">
        <v>744</v>
      </c>
      <c r="B597" s="330"/>
      <c r="C597" s="331"/>
      <c r="D597" s="332"/>
      <c r="E597" s="332"/>
      <c r="F597" s="332"/>
      <c r="G597" s="332"/>
      <c r="H597" s="332"/>
      <c r="I597" s="322" t="s">
        <v>745</v>
      </c>
      <c r="J597" s="294" t="s">
        <v>749</v>
      </c>
      <c r="K597" s="294" t="s">
        <v>749</v>
      </c>
      <c r="L597" s="294" t="s">
        <v>749</v>
      </c>
      <c r="M597" s="294"/>
      <c r="N597" s="323"/>
    </row>
    <row r="598" spans="1:14" ht="21" customHeight="1">
      <c r="A598" s="491" t="s">
        <v>746</v>
      </c>
      <c r="B598" s="333"/>
      <c r="C598" s="334"/>
      <c r="D598" s="334"/>
      <c r="E598" s="334"/>
      <c r="F598" s="334"/>
      <c r="G598" s="334"/>
      <c r="H598" s="334"/>
      <c r="I598" s="334"/>
      <c r="J598" s="335"/>
      <c r="K598" s="336"/>
      <c r="L598" s="336"/>
      <c r="M598" s="336"/>
      <c r="N598" s="309"/>
    </row>
    <row r="599" spans="1:14" ht="21" customHeight="1">
      <c r="A599" s="492"/>
      <c r="B599" s="307"/>
      <c r="C599" s="334"/>
      <c r="D599" s="334"/>
      <c r="E599" s="334"/>
      <c r="F599" s="334"/>
      <c r="G599" s="334"/>
      <c r="H599" s="334"/>
      <c r="I599" s="334"/>
      <c r="J599" s="334"/>
      <c r="K599" s="334"/>
      <c r="L599" s="334"/>
      <c r="M599" s="334"/>
      <c r="N599" s="337"/>
    </row>
    <row r="600" spans="1:14" ht="21" customHeight="1">
      <c r="A600" s="492"/>
      <c r="B600" s="307"/>
      <c r="C600" s="308"/>
      <c r="D600" s="308"/>
      <c r="E600" s="308"/>
      <c r="F600" s="308"/>
      <c r="G600" s="308"/>
      <c r="H600" s="308"/>
      <c r="I600" s="308"/>
      <c r="J600" s="308"/>
      <c r="K600" s="308"/>
      <c r="L600" s="308"/>
      <c r="M600" s="308"/>
      <c r="N600" s="309"/>
    </row>
    <row r="601" spans="1:14" ht="21" customHeight="1">
      <c r="A601" s="492"/>
      <c r="B601" s="307"/>
      <c r="C601" s="308"/>
      <c r="D601" s="308"/>
      <c r="E601" s="308"/>
      <c r="F601" s="308"/>
      <c r="G601" s="308"/>
      <c r="H601" s="308"/>
      <c r="I601" s="308"/>
      <c r="J601" s="308"/>
      <c r="K601" s="308"/>
      <c r="L601" s="308"/>
      <c r="M601" s="308"/>
      <c r="N601" s="309"/>
    </row>
    <row r="602" spans="1:14" ht="21" customHeight="1">
      <c r="A602" s="493"/>
      <c r="B602" s="338"/>
      <c r="C602" s="334"/>
      <c r="D602" s="334"/>
      <c r="E602" s="334"/>
      <c r="F602" s="334"/>
      <c r="G602" s="334"/>
      <c r="H602" s="334"/>
      <c r="I602" s="334"/>
      <c r="J602" s="334"/>
      <c r="K602" s="334"/>
      <c r="L602" s="334"/>
      <c r="M602" s="334"/>
      <c r="N602" s="339"/>
    </row>
    <row r="605" spans="1:14" ht="21" customHeight="1">
      <c r="A605" s="310" t="s">
        <v>727</v>
      </c>
      <c r="B605" s="310" t="s">
        <v>728</v>
      </c>
      <c r="C605" s="310" t="s">
        <v>729</v>
      </c>
      <c r="D605" s="311" t="s">
        <v>730</v>
      </c>
      <c r="E605" s="312" t="s">
        <v>731</v>
      </c>
      <c r="F605" s="313" t="s">
        <v>732</v>
      </c>
      <c r="G605" s="313" t="s">
        <v>733</v>
      </c>
      <c r="H605" s="313" t="s">
        <v>734</v>
      </c>
      <c r="I605" s="314" t="s">
        <v>459</v>
      </c>
      <c r="J605" s="315" t="s">
        <v>16</v>
      </c>
      <c r="K605" s="315" t="s">
        <v>463</v>
      </c>
      <c r="L605" s="315" t="s">
        <v>460</v>
      </c>
      <c r="M605" s="315" t="s">
        <v>18</v>
      </c>
      <c r="N605" s="315" t="s">
        <v>735</v>
      </c>
    </row>
    <row r="606" spans="1:14" ht="21" customHeight="1">
      <c r="A606" s="488"/>
      <c r="B606" s="343"/>
      <c r="C606" s="316" t="s">
        <v>736</v>
      </c>
      <c r="D606" s="317"/>
      <c r="E606" s="318"/>
      <c r="F606" s="318"/>
      <c r="G606" s="318"/>
      <c r="H606" s="318"/>
      <c r="I606" s="319" t="s">
        <v>737</v>
      </c>
      <c r="J606" s="320"/>
      <c r="K606" s="321"/>
      <c r="L606" s="320"/>
      <c r="M606" s="321"/>
      <c r="N606" s="320"/>
    </row>
    <row r="607" spans="1:14" ht="21" customHeight="1">
      <c r="A607" s="489"/>
      <c r="B607" s="292"/>
      <c r="C607" s="318" t="s">
        <v>738</v>
      </c>
      <c r="D607" s="317"/>
      <c r="E607" s="317"/>
      <c r="F607" s="318"/>
      <c r="G607" s="318"/>
      <c r="H607" s="318"/>
      <c r="I607" s="322" t="s">
        <v>739</v>
      </c>
      <c r="J607" s="323" t="s">
        <v>815</v>
      </c>
      <c r="K607" s="323" t="s">
        <v>815</v>
      </c>
      <c r="L607" s="323" t="s">
        <v>815</v>
      </c>
      <c r="M607" s="323" t="s">
        <v>815</v>
      </c>
      <c r="N607" s="324"/>
    </row>
    <row r="608" spans="1:14" ht="21" customHeight="1">
      <c r="A608" s="489"/>
      <c r="B608" s="292" t="s">
        <v>747</v>
      </c>
      <c r="C608" s="318" t="s">
        <v>740</v>
      </c>
      <c r="D608" s="318"/>
      <c r="E608" s="318"/>
      <c r="F608" s="318"/>
      <c r="G608" s="318"/>
      <c r="H608" s="318"/>
      <c r="I608" s="322" t="s">
        <v>741</v>
      </c>
      <c r="J608" s="325" t="s">
        <v>1055</v>
      </c>
      <c r="K608" s="325" t="s">
        <v>1056</v>
      </c>
      <c r="L608" s="325" t="s">
        <v>1056</v>
      </c>
      <c r="M608" s="326" t="s">
        <v>1058</v>
      </c>
      <c r="N608" s="323"/>
    </row>
    <row r="609" spans="1:14" ht="21" customHeight="1">
      <c r="A609" s="490"/>
      <c r="B609" s="293"/>
      <c r="C609" s="327" t="s">
        <v>742</v>
      </c>
      <c r="D609" s="328">
        <f>SUM(D606:D608)</f>
        <v>0</v>
      </c>
      <c r="E609" s="329"/>
      <c r="F609" s="329"/>
      <c r="G609" s="329"/>
      <c r="H609" s="329"/>
      <c r="I609" s="322" t="s">
        <v>743</v>
      </c>
      <c r="J609" s="325" t="s">
        <v>1059</v>
      </c>
      <c r="K609" s="326" t="s">
        <v>1057</v>
      </c>
      <c r="L609" s="326" t="s">
        <v>1057</v>
      </c>
      <c r="M609" s="326" t="s">
        <v>1057</v>
      </c>
      <c r="N609" s="323"/>
    </row>
    <row r="610" spans="1:14" ht="21" customHeight="1">
      <c r="A610" s="323" t="s">
        <v>744</v>
      </c>
      <c r="B610" s="330"/>
      <c r="C610" s="331"/>
      <c r="D610" s="332"/>
      <c r="E610" s="332"/>
      <c r="F610" s="332"/>
      <c r="G610" s="332"/>
      <c r="H610" s="332"/>
      <c r="I610" s="322" t="s">
        <v>745</v>
      </c>
      <c r="J610" s="294" t="s">
        <v>749</v>
      </c>
      <c r="K610" s="294" t="s">
        <v>749</v>
      </c>
      <c r="L610" s="294" t="s">
        <v>749</v>
      </c>
      <c r="M610" s="294"/>
      <c r="N610" s="323"/>
    </row>
    <row r="611" spans="1:14" ht="21" customHeight="1">
      <c r="A611" s="491" t="s">
        <v>746</v>
      </c>
      <c r="B611" s="333"/>
      <c r="C611" s="334"/>
      <c r="D611" s="334"/>
      <c r="E611" s="334"/>
      <c r="F611" s="334"/>
      <c r="G611" s="334"/>
      <c r="H611" s="334"/>
      <c r="I611" s="334"/>
      <c r="J611" s="335"/>
      <c r="K611" s="336"/>
      <c r="L611" s="336"/>
      <c r="M611" s="336"/>
      <c r="N611" s="309"/>
    </row>
    <row r="612" spans="1:14" ht="21" customHeight="1">
      <c r="A612" s="492"/>
      <c r="B612" s="307"/>
      <c r="C612" s="334"/>
      <c r="D612" s="334"/>
      <c r="E612" s="334"/>
      <c r="F612" s="334"/>
      <c r="G612" s="334"/>
      <c r="H612" s="334"/>
      <c r="I612" s="334"/>
      <c r="J612" s="334"/>
      <c r="K612" s="334"/>
      <c r="L612" s="334"/>
      <c r="M612" s="334"/>
      <c r="N612" s="337"/>
    </row>
    <row r="613" spans="1:14" ht="21" customHeight="1">
      <c r="A613" s="492"/>
      <c r="B613" s="307"/>
      <c r="C613" s="308"/>
      <c r="D613" s="308"/>
      <c r="E613" s="308"/>
      <c r="F613" s="308"/>
      <c r="G613" s="308"/>
      <c r="H613" s="308"/>
      <c r="I613" s="308"/>
      <c r="J613" s="308"/>
      <c r="K613" s="308"/>
      <c r="L613" s="308"/>
      <c r="M613" s="308"/>
      <c r="N613" s="309"/>
    </row>
    <row r="614" spans="1:14" ht="21" customHeight="1">
      <c r="A614" s="492"/>
      <c r="B614" s="307"/>
      <c r="C614" s="308"/>
      <c r="D614" s="308"/>
      <c r="E614" s="308"/>
      <c r="F614" s="308"/>
      <c r="G614" s="308"/>
      <c r="H614" s="308"/>
      <c r="I614" s="308"/>
      <c r="J614" s="308"/>
      <c r="K614" s="308"/>
      <c r="L614" s="308"/>
      <c r="M614" s="308"/>
      <c r="N614" s="309"/>
    </row>
    <row r="615" spans="1:14" ht="21" customHeight="1">
      <c r="A615" s="493"/>
      <c r="B615" s="338"/>
      <c r="C615" s="334"/>
      <c r="D615" s="334"/>
      <c r="E615" s="334"/>
      <c r="F615" s="334"/>
      <c r="G615" s="334"/>
      <c r="H615" s="334"/>
      <c r="I615" s="334"/>
      <c r="J615" s="334"/>
      <c r="K615" s="334"/>
      <c r="L615" s="334"/>
      <c r="M615" s="334"/>
      <c r="N615" s="339"/>
    </row>
    <row r="618" spans="1:14" ht="21" customHeight="1">
      <c r="A618" s="310" t="s">
        <v>727</v>
      </c>
      <c r="B618" s="310" t="s">
        <v>728</v>
      </c>
      <c r="C618" s="310" t="s">
        <v>729</v>
      </c>
      <c r="D618" s="311" t="s">
        <v>730</v>
      </c>
      <c r="E618" s="312" t="s">
        <v>731</v>
      </c>
      <c r="F618" s="313" t="s">
        <v>732</v>
      </c>
      <c r="G618" s="313" t="s">
        <v>733</v>
      </c>
      <c r="H618" s="313" t="s">
        <v>734</v>
      </c>
      <c r="I618" s="314" t="s">
        <v>459</v>
      </c>
      <c r="J618" s="315" t="s">
        <v>16</v>
      </c>
      <c r="K618" s="315" t="s">
        <v>463</v>
      </c>
      <c r="L618" s="315" t="s">
        <v>460</v>
      </c>
      <c r="M618" s="315" t="s">
        <v>18</v>
      </c>
      <c r="N618" s="315" t="s">
        <v>735</v>
      </c>
    </row>
    <row r="619" spans="1:14" ht="21" customHeight="1">
      <c r="A619" s="488"/>
      <c r="B619" s="343"/>
      <c r="C619" s="316" t="s">
        <v>736</v>
      </c>
      <c r="D619" s="317"/>
      <c r="E619" s="318"/>
      <c r="F619" s="318"/>
      <c r="G619" s="318"/>
      <c r="H619" s="318"/>
      <c r="I619" s="319" t="s">
        <v>737</v>
      </c>
      <c r="J619" s="320"/>
      <c r="K619" s="321"/>
      <c r="L619" s="320"/>
      <c r="M619" s="321"/>
      <c r="N619" s="320"/>
    </row>
    <row r="620" spans="1:14" ht="21" customHeight="1">
      <c r="A620" s="489"/>
      <c r="B620" s="292"/>
      <c r="C620" s="318" t="s">
        <v>738</v>
      </c>
      <c r="D620" s="317"/>
      <c r="E620" s="317"/>
      <c r="F620" s="318"/>
      <c r="G620" s="318"/>
      <c r="H620" s="318"/>
      <c r="I620" s="322" t="s">
        <v>739</v>
      </c>
      <c r="J620" s="323" t="s">
        <v>815</v>
      </c>
      <c r="K620" s="323" t="s">
        <v>815</v>
      </c>
      <c r="L620" s="323" t="s">
        <v>815</v>
      </c>
      <c r="M620" s="323" t="s">
        <v>815</v>
      </c>
      <c r="N620" s="324"/>
    </row>
    <row r="621" spans="1:14" ht="21" customHeight="1">
      <c r="A621" s="489"/>
      <c r="B621" s="292" t="s">
        <v>747</v>
      </c>
      <c r="C621" s="318" t="s">
        <v>740</v>
      </c>
      <c r="D621" s="318"/>
      <c r="E621" s="318"/>
      <c r="F621" s="318"/>
      <c r="G621" s="318"/>
      <c r="H621" s="318"/>
      <c r="I621" s="322" t="s">
        <v>741</v>
      </c>
      <c r="J621" s="325" t="s">
        <v>1055</v>
      </c>
      <c r="K621" s="325" t="s">
        <v>1056</v>
      </c>
      <c r="L621" s="325" t="s">
        <v>1056</v>
      </c>
      <c r="M621" s="326" t="s">
        <v>1058</v>
      </c>
      <c r="N621" s="323"/>
    </row>
    <row r="622" spans="1:14" ht="21" customHeight="1">
      <c r="A622" s="490"/>
      <c r="B622" s="293"/>
      <c r="C622" s="327" t="s">
        <v>742</v>
      </c>
      <c r="D622" s="328">
        <f>SUM(D619:D621)</f>
        <v>0</v>
      </c>
      <c r="E622" s="329"/>
      <c r="F622" s="329"/>
      <c r="G622" s="329"/>
      <c r="H622" s="329"/>
      <c r="I622" s="322" t="s">
        <v>743</v>
      </c>
      <c r="J622" s="325" t="s">
        <v>1059</v>
      </c>
      <c r="K622" s="326" t="s">
        <v>1057</v>
      </c>
      <c r="L622" s="326" t="s">
        <v>1057</v>
      </c>
      <c r="M622" s="326" t="s">
        <v>1057</v>
      </c>
      <c r="N622" s="323"/>
    </row>
    <row r="623" spans="1:14" ht="21" customHeight="1">
      <c r="A623" s="323" t="s">
        <v>744</v>
      </c>
      <c r="B623" s="330"/>
      <c r="C623" s="331"/>
      <c r="D623" s="332"/>
      <c r="E623" s="332"/>
      <c r="F623" s="332"/>
      <c r="G623" s="332"/>
      <c r="H623" s="332"/>
      <c r="I623" s="322" t="s">
        <v>745</v>
      </c>
      <c r="J623" s="294" t="s">
        <v>749</v>
      </c>
      <c r="K623" s="294" t="s">
        <v>749</v>
      </c>
      <c r="L623" s="294" t="s">
        <v>749</v>
      </c>
      <c r="M623" s="294"/>
      <c r="N623" s="323"/>
    </row>
    <row r="624" spans="1:14" ht="21" customHeight="1">
      <c r="A624" s="491" t="s">
        <v>746</v>
      </c>
      <c r="B624" s="333"/>
      <c r="C624" s="334"/>
      <c r="D624" s="334"/>
      <c r="E624" s="334"/>
      <c r="F624" s="334"/>
      <c r="G624" s="334"/>
      <c r="H624" s="334"/>
      <c r="I624" s="334"/>
      <c r="J624" s="335"/>
      <c r="K624" s="336"/>
      <c r="L624" s="336"/>
      <c r="M624" s="336"/>
      <c r="N624" s="309"/>
    </row>
    <row r="625" spans="1:14" ht="21" customHeight="1">
      <c r="A625" s="492"/>
      <c r="B625" s="307"/>
      <c r="C625" s="334"/>
      <c r="D625" s="334"/>
      <c r="E625" s="334"/>
      <c r="F625" s="334"/>
      <c r="G625" s="334"/>
      <c r="H625" s="334"/>
      <c r="I625" s="334"/>
      <c r="J625" s="334"/>
      <c r="K625" s="334"/>
      <c r="L625" s="334"/>
      <c r="M625" s="334"/>
      <c r="N625" s="337"/>
    </row>
    <row r="626" spans="1:14" ht="21" customHeight="1">
      <c r="A626" s="492"/>
      <c r="B626" s="307"/>
      <c r="C626" s="308"/>
      <c r="D626" s="308"/>
      <c r="E626" s="308"/>
      <c r="F626" s="308"/>
      <c r="G626" s="308"/>
      <c r="H626" s="308"/>
      <c r="I626" s="308"/>
      <c r="J626" s="308"/>
      <c r="K626" s="308"/>
      <c r="L626" s="308"/>
      <c r="M626" s="308"/>
      <c r="N626" s="309"/>
    </row>
    <row r="627" spans="1:14" ht="21" customHeight="1">
      <c r="A627" s="492"/>
      <c r="B627" s="307"/>
      <c r="C627" s="308"/>
      <c r="D627" s="308"/>
      <c r="E627" s="308"/>
      <c r="F627" s="308"/>
      <c r="G627" s="308"/>
      <c r="H627" s="308"/>
      <c r="I627" s="308"/>
      <c r="J627" s="308"/>
      <c r="K627" s="308"/>
      <c r="L627" s="308"/>
      <c r="M627" s="308"/>
      <c r="N627" s="309"/>
    </row>
    <row r="628" spans="1:14" ht="21" customHeight="1">
      <c r="A628" s="493"/>
      <c r="B628" s="338"/>
      <c r="C628" s="334"/>
      <c r="D628" s="334"/>
      <c r="E628" s="334"/>
      <c r="F628" s="334"/>
      <c r="G628" s="334"/>
      <c r="H628" s="334"/>
      <c r="I628" s="334"/>
      <c r="J628" s="334"/>
      <c r="K628" s="334"/>
      <c r="L628" s="334"/>
      <c r="M628" s="334"/>
      <c r="N628" s="339"/>
    </row>
    <row r="631" spans="1:14" ht="21" customHeight="1">
      <c r="A631" s="310" t="s">
        <v>727</v>
      </c>
      <c r="B631" s="310" t="s">
        <v>728</v>
      </c>
      <c r="C631" s="310" t="s">
        <v>729</v>
      </c>
      <c r="D631" s="311" t="s">
        <v>730</v>
      </c>
      <c r="E631" s="312" t="s">
        <v>731</v>
      </c>
      <c r="F631" s="313" t="s">
        <v>732</v>
      </c>
      <c r="G631" s="313" t="s">
        <v>733</v>
      </c>
      <c r="H631" s="313" t="s">
        <v>734</v>
      </c>
      <c r="I631" s="314" t="s">
        <v>459</v>
      </c>
      <c r="J631" s="315" t="s">
        <v>16</v>
      </c>
      <c r="K631" s="315" t="s">
        <v>463</v>
      </c>
      <c r="L631" s="315" t="s">
        <v>460</v>
      </c>
      <c r="M631" s="315" t="s">
        <v>18</v>
      </c>
      <c r="N631" s="315" t="s">
        <v>735</v>
      </c>
    </row>
    <row r="632" spans="1:14" ht="21" customHeight="1">
      <c r="A632" s="488"/>
      <c r="B632" s="343"/>
      <c r="C632" s="316" t="s">
        <v>736</v>
      </c>
      <c r="D632" s="317"/>
      <c r="E632" s="318"/>
      <c r="F632" s="318"/>
      <c r="G632" s="318"/>
      <c r="H632" s="318"/>
      <c r="I632" s="319" t="s">
        <v>737</v>
      </c>
      <c r="J632" s="320"/>
      <c r="K632" s="321"/>
      <c r="L632" s="320"/>
      <c r="M632" s="321"/>
      <c r="N632" s="320"/>
    </row>
    <row r="633" spans="1:14" ht="21" customHeight="1">
      <c r="A633" s="489"/>
      <c r="B633" s="292"/>
      <c r="C633" s="318" t="s">
        <v>738</v>
      </c>
      <c r="D633" s="317"/>
      <c r="E633" s="317"/>
      <c r="F633" s="318"/>
      <c r="G633" s="318"/>
      <c r="H633" s="318"/>
      <c r="I633" s="322" t="s">
        <v>739</v>
      </c>
      <c r="J633" s="323" t="s">
        <v>815</v>
      </c>
      <c r="K633" s="323" t="s">
        <v>815</v>
      </c>
      <c r="L633" s="323" t="s">
        <v>815</v>
      </c>
      <c r="M633" s="323" t="s">
        <v>815</v>
      </c>
      <c r="N633" s="324"/>
    </row>
    <row r="634" spans="1:14" ht="21" customHeight="1">
      <c r="A634" s="489"/>
      <c r="B634" s="292" t="s">
        <v>747</v>
      </c>
      <c r="C634" s="318" t="s">
        <v>740</v>
      </c>
      <c r="D634" s="318"/>
      <c r="E634" s="318"/>
      <c r="F634" s="318"/>
      <c r="G634" s="318"/>
      <c r="H634" s="318"/>
      <c r="I634" s="322" t="s">
        <v>741</v>
      </c>
      <c r="J634" s="325" t="s">
        <v>1055</v>
      </c>
      <c r="K634" s="325" t="s">
        <v>1056</v>
      </c>
      <c r="L634" s="325" t="s">
        <v>1056</v>
      </c>
      <c r="M634" s="326" t="s">
        <v>1058</v>
      </c>
      <c r="N634" s="323"/>
    </row>
    <row r="635" spans="1:14" ht="21" customHeight="1">
      <c r="A635" s="490"/>
      <c r="B635" s="293"/>
      <c r="C635" s="327" t="s">
        <v>742</v>
      </c>
      <c r="D635" s="328">
        <f>SUM(D632:D634)</f>
        <v>0</v>
      </c>
      <c r="E635" s="329"/>
      <c r="F635" s="329"/>
      <c r="G635" s="329"/>
      <c r="H635" s="329"/>
      <c r="I635" s="322" t="s">
        <v>743</v>
      </c>
      <c r="J635" s="325" t="s">
        <v>1059</v>
      </c>
      <c r="K635" s="326" t="s">
        <v>1057</v>
      </c>
      <c r="L635" s="326" t="s">
        <v>1057</v>
      </c>
      <c r="M635" s="326" t="s">
        <v>1057</v>
      </c>
      <c r="N635" s="323"/>
    </row>
    <row r="636" spans="1:14" ht="21" customHeight="1">
      <c r="A636" s="323" t="s">
        <v>744</v>
      </c>
      <c r="B636" s="330"/>
      <c r="C636" s="331"/>
      <c r="D636" s="332"/>
      <c r="E636" s="332"/>
      <c r="F636" s="332"/>
      <c r="G636" s="332"/>
      <c r="H636" s="332"/>
      <c r="I636" s="322" t="s">
        <v>745</v>
      </c>
      <c r="J636" s="294" t="s">
        <v>749</v>
      </c>
      <c r="K636" s="294" t="s">
        <v>749</v>
      </c>
      <c r="L636" s="294" t="s">
        <v>749</v>
      </c>
      <c r="M636" s="294"/>
      <c r="N636" s="323"/>
    </row>
    <row r="637" spans="1:14" ht="21" customHeight="1">
      <c r="A637" s="491" t="s">
        <v>746</v>
      </c>
      <c r="B637" s="333"/>
      <c r="C637" s="334"/>
      <c r="D637" s="334"/>
      <c r="E637" s="334"/>
      <c r="F637" s="334"/>
      <c r="G637" s="334"/>
      <c r="H637" s="334"/>
      <c r="I637" s="334"/>
      <c r="J637" s="335"/>
      <c r="K637" s="336"/>
      <c r="L637" s="336"/>
      <c r="M637" s="336"/>
      <c r="N637" s="309"/>
    </row>
    <row r="638" spans="1:14" ht="21" customHeight="1">
      <c r="A638" s="492"/>
      <c r="B638" s="307"/>
      <c r="C638" s="334"/>
      <c r="D638" s="334"/>
      <c r="E638" s="334"/>
      <c r="F638" s="334"/>
      <c r="G638" s="334"/>
      <c r="H638" s="334"/>
      <c r="I638" s="334"/>
      <c r="J638" s="334"/>
      <c r="K638" s="334"/>
      <c r="L638" s="334"/>
      <c r="M638" s="334"/>
      <c r="N638" s="337"/>
    </row>
    <row r="639" spans="1:14" ht="21" customHeight="1">
      <c r="A639" s="492"/>
      <c r="B639" s="307"/>
      <c r="C639" s="308"/>
      <c r="D639" s="308"/>
      <c r="E639" s="308"/>
      <c r="F639" s="308"/>
      <c r="G639" s="308"/>
      <c r="H639" s="308"/>
      <c r="I639" s="308"/>
      <c r="J639" s="308"/>
      <c r="K639" s="308"/>
      <c r="L639" s="308"/>
      <c r="M639" s="308"/>
      <c r="N639" s="309"/>
    </row>
    <row r="640" spans="1:14" ht="21" customHeight="1">
      <c r="A640" s="492"/>
      <c r="B640" s="307"/>
      <c r="C640" s="308"/>
      <c r="D640" s="308"/>
      <c r="E640" s="308"/>
      <c r="F640" s="308"/>
      <c r="G640" s="308"/>
      <c r="H640" s="308"/>
      <c r="I640" s="308"/>
      <c r="J640" s="308"/>
      <c r="K640" s="308"/>
      <c r="L640" s="308"/>
      <c r="M640" s="308"/>
      <c r="N640" s="309"/>
    </row>
    <row r="641" spans="1:14" ht="21" customHeight="1">
      <c r="A641" s="493"/>
      <c r="B641" s="338"/>
      <c r="C641" s="334"/>
      <c r="D641" s="334"/>
      <c r="E641" s="334"/>
      <c r="F641" s="334"/>
      <c r="G641" s="334"/>
      <c r="H641" s="334"/>
      <c r="I641" s="334"/>
      <c r="J641" s="334"/>
      <c r="K641" s="334"/>
      <c r="L641" s="334"/>
      <c r="M641" s="334"/>
      <c r="N641" s="339"/>
    </row>
    <row r="644" spans="1:14" ht="21" customHeight="1">
      <c r="A644" s="310" t="s">
        <v>727</v>
      </c>
      <c r="B644" s="310" t="s">
        <v>728</v>
      </c>
      <c r="C644" s="310" t="s">
        <v>729</v>
      </c>
      <c r="D644" s="311" t="s">
        <v>730</v>
      </c>
      <c r="E644" s="312" t="s">
        <v>731</v>
      </c>
      <c r="F644" s="313" t="s">
        <v>732</v>
      </c>
      <c r="G644" s="313" t="s">
        <v>733</v>
      </c>
      <c r="H644" s="313" t="s">
        <v>734</v>
      </c>
      <c r="I644" s="314" t="s">
        <v>459</v>
      </c>
      <c r="J644" s="315" t="s">
        <v>16</v>
      </c>
      <c r="K644" s="315" t="s">
        <v>463</v>
      </c>
      <c r="L644" s="315" t="s">
        <v>460</v>
      </c>
      <c r="M644" s="315" t="s">
        <v>18</v>
      </c>
      <c r="N644" s="315" t="s">
        <v>735</v>
      </c>
    </row>
    <row r="645" spans="1:14" ht="21" customHeight="1">
      <c r="A645" s="488"/>
      <c r="B645" s="343"/>
      <c r="C645" s="316" t="s">
        <v>736</v>
      </c>
      <c r="D645" s="317"/>
      <c r="E645" s="318"/>
      <c r="F645" s="318"/>
      <c r="G645" s="318"/>
      <c r="H645" s="318"/>
      <c r="I645" s="319" t="s">
        <v>737</v>
      </c>
      <c r="J645" s="320"/>
      <c r="K645" s="321"/>
      <c r="L645" s="320"/>
      <c r="M645" s="321"/>
      <c r="N645" s="320"/>
    </row>
    <row r="646" spans="1:14" ht="21" customHeight="1">
      <c r="A646" s="489"/>
      <c r="B646" s="292"/>
      <c r="C646" s="318" t="s">
        <v>738</v>
      </c>
      <c r="D646" s="317"/>
      <c r="E646" s="317"/>
      <c r="F646" s="318"/>
      <c r="G646" s="318"/>
      <c r="H646" s="318"/>
      <c r="I646" s="322" t="s">
        <v>739</v>
      </c>
      <c r="J646" s="323" t="s">
        <v>815</v>
      </c>
      <c r="K646" s="323" t="s">
        <v>815</v>
      </c>
      <c r="L646" s="323" t="s">
        <v>815</v>
      </c>
      <c r="M646" s="323" t="s">
        <v>815</v>
      </c>
      <c r="N646" s="324"/>
    </row>
    <row r="647" spans="1:14" ht="21" customHeight="1">
      <c r="A647" s="489"/>
      <c r="B647" s="292" t="s">
        <v>747</v>
      </c>
      <c r="C647" s="318" t="s">
        <v>740</v>
      </c>
      <c r="D647" s="318"/>
      <c r="E647" s="318"/>
      <c r="F647" s="318"/>
      <c r="G647" s="318"/>
      <c r="H647" s="318"/>
      <c r="I647" s="322" t="s">
        <v>741</v>
      </c>
      <c r="J647" s="325" t="s">
        <v>1055</v>
      </c>
      <c r="K647" s="325" t="s">
        <v>1056</v>
      </c>
      <c r="L647" s="325" t="s">
        <v>1056</v>
      </c>
      <c r="M647" s="326" t="s">
        <v>1058</v>
      </c>
      <c r="N647" s="323"/>
    </row>
    <row r="648" spans="1:14" ht="21" customHeight="1">
      <c r="A648" s="490"/>
      <c r="B648" s="293"/>
      <c r="C648" s="327" t="s">
        <v>742</v>
      </c>
      <c r="D648" s="328">
        <f>SUM(D645:D647)</f>
        <v>0</v>
      </c>
      <c r="E648" s="329"/>
      <c r="F648" s="329"/>
      <c r="G648" s="329"/>
      <c r="H648" s="329"/>
      <c r="I648" s="322" t="s">
        <v>743</v>
      </c>
      <c r="J648" s="325" t="s">
        <v>1059</v>
      </c>
      <c r="K648" s="326" t="s">
        <v>1057</v>
      </c>
      <c r="L648" s="326" t="s">
        <v>1057</v>
      </c>
      <c r="M648" s="326" t="s">
        <v>1057</v>
      </c>
      <c r="N648" s="323"/>
    </row>
    <row r="649" spans="1:14" ht="21" customHeight="1">
      <c r="A649" s="323" t="s">
        <v>744</v>
      </c>
      <c r="B649" s="330"/>
      <c r="C649" s="331"/>
      <c r="D649" s="332"/>
      <c r="E649" s="332"/>
      <c r="F649" s="332"/>
      <c r="G649" s="332"/>
      <c r="H649" s="332"/>
      <c r="I649" s="322" t="s">
        <v>745</v>
      </c>
      <c r="J649" s="294" t="s">
        <v>749</v>
      </c>
      <c r="K649" s="294" t="s">
        <v>749</v>
      </c>
      <c r="L649" s="294" t="s">
        <v>749</v>
      </c>
      <c r="M649" s="294"/>
      <c r="N649" s="323"/>
    </row>
    <row r="650" spans="1:14" ht="21" customHeight="1">
      <c r="A650" s="491" t="s">
        <v>746</v>
      </c>
      <c r="B650" s="333"/>
      <c r="C650" s="334"/>
      <c r="D650" s="334"/>
      <c r="E650" s="334"/>
      <c r="F650" s="334"/>
      <c r="G650" s="334"/>
      <c r="H650" s="334"/>
      <c r="I650" s="334"/>
      <c r="J650" s="335"/>
      <c r="K650" s="336"/>
      <c r="L650" s="336"/>
      <c r="M650" s="336"/>
      <c r="N650" s="309"/>
    </row>
    <row r="651" spans="1:14" ht="21" customHeight="1">
      <c r="A651" s="492"/>
      <c r="B651" s="307"/>
      <c r="C651" s="334"/>
      <c r="D651" s="334"/>
      <c r="E651" s="334"/>
      <c r="F651" s="334"/>
      <c r="G651" s="334"/>
      <c r="H651" s="334"/>
      <c r="I651" s="334"/>
      <c r="J651" s="334"/>
      <c r="K651" s="334"/>
      <c r="L651" s="334"/>
      <c r="M651" s="334"/>
      <c r="N651" s="337"/>
    </row>
    <row r="652" spans="1:14" ht="21" customHeight="1">
      <c r="A652" s="492"/>
      <c r="B652" s="307"/>
      <c r="C652" s="308"/>
      <c r="D652" s="308"/>
      <c r="E652" s="308"/>
      <c r="F652" s="308"/>
      <c r="G652" s="308"/>
      <c r="H652" s="308"/>
      <c r="I652" s="308"/>
      <c r="J652" s="308"/>
      <c r="K652" s="308"/>
      <c r="L652" s="308"/>
      <c r="M652" s="308"/>
      <c r="N652" s="309"/>
    </row>
    <row r="653" spans="1:14" ht="21" customHeight="1">
      <c r="A653" s="492"/>
      <c r="B653" s="307"/>
      <c r="C653" s="308"/>
      <c r="D653" s="308"/>
      <c r="E653" s="308"/>
      <c r="F653" s="308"/>
      <c r="G653" s="308"/>
      <c r="H653" s="308"/>
      <c r="I653" s="308"/>
      <c r="J653" s="308"/>
      <c r="K653" s="308"/>
      <c r="L653" s="308"/>
      <c r="M653" s="308"/>
      <c r="N653" s="309"/>
    </row>
    <row r="654" spans="1:14" ht="21" customHeight="1">
      <c r="A654" s="493"/>
      <c r="B654" s="338"/>
      <c r="C654" s="334"/>
      <c r="D654" s="334"/>
      <c r="E654" s="334"/>
      <c r="F654" s="334"/>
      <c r="G654" s="334"/>
      <c r="H654" s="334"/>
      <c r="I654" s="334"/>
      <c r="J654" s="334"/>
      <c r="K654" s="334"/>
      <c r="L654" s="334"/>
      <c r="M654" s="334"/>
      <c r="N654" s="339"/>
    </row>
    <row r="657" spans="1:14" ht="21" customHeight="1">
      <c r="A657" s="310" t="s">
        <v>727</v>
      </c>
      <c r="B657" s="310" t="s">
        <v>728</v>
      </c>
      <c r="C657" s="310" t="s">
        <v>729</v>
      </c>
      <c r="D657" s="311" t="s">
        <v>730</v>
      </c>
      <c r="E657" s="312" t="s">
        <v>731</v>
      </c>
      <c r="F657" s="313" t="s">
        <v>732</v>
      </c>
      <c r="G657" s="313" t="s">
        <v>733</v>
      </c>
      <c r="H657" s="313" t="s">
        <v>734</v>
      </c>
      <c r="I657" s="314" t="s">
        <v>459</v>
      </c>
      <c r="J657" s="315" t="s">
        <v>16</v>
      </c>
      <c r="K657" s="315" t="s">
        <v>463</v>
      </c>
      <c r="L657" s="315" t="s">
        <v>460</v>
      </c>
      <c r="M657" s="315" t="s">
        <v>18</v>
      </c>
      <c r="N657" s="315" t="s">
        <v>735</v>
      </c>
    </row>
    <row r="658" spans="1:14" ht="21" customHeight="1">
      <c r="A658" s="488"/>
      <c r="B658" s="343"/>
      <c r="C658" s="316" t="s">
        <v>736</v>
      </c>
      <c r="D658" s="317"/>
      <c r="E658" s="318"/>
      <c r="F658" s="318"/>
      <c r="G658" s="318"/>
      <c r="H658" s="318"/>
      <c r="I658" s="319" t="s">
        <v>737</v>
      </c>
      <c r="J658" s="320"/>
      <c r="K658" s="321"/>
      <c r="L658" s="320"/>
      <c r="M658" s="321"/>
      <c r="N658" s="320"/>
    </row>
    <row r="659" spans="1:14" ht="21" customHeight="1">
      <c r="A659" s="489"/>
      <c r="B659" s="292"/>
      <c r="C659" s="318" t="s">
        <v>738</v>
      </c>
      <c r="D659" s="317"/>
      <c r="E659" s="317"/>
      <c r="F659" s="318"/>
      <c r="G659" s="318"/>
      <c r="H659" s="318"/>
      <c r="I659" s="322" t="s">
        <v>739</v>
      </c>
      <c r="J659" s="323" t="s">
        <v>815</v>
      </c>
      <c r="K659" s="323" t="s">
        <v>815</v>
      </c>
      <c r="L659" s="323" t="s">
        <v>815</v>
      </c>
      <c r="M659" s="323" t="s">
        <v>815</v>
      </c>
      <c r="N659" s="324"/>
    </row>
    <row r="660" spans="1:14" ht="21" customHeight="1">
      <c r="A660" s="489"/>
      <c r="B660" s="292" t="s">
        <v>747</v>
      </c>
      <c r="C660" s="318" t="s">
        <v>740</v>
      </c>
      <c r="D660" s="318"/>
      <c r="E660" s="318"/>
      <c r="F660" s="318"/>
      <c r="G660" s="318"/>
      <c r="H660" s="318"/>
      <c r="I660" s="322" t="s">
        <v>741</v>
      </c>
      <c r="J660" s="325" t="s">
        <v>1055</v>
      </c>
      <c r="K660" s="325" t="s">
        <v>1056</v>
      </c>
      <c r="L660" s="325" t="s">
        <v>1056</v>
      </c>
      <c r="M660" s="326" t="s">
        <v>1058</v>
      </c>
      <c r="N660" s="323"/>
    </row>
    <row r="661" spans="1:14" ht="21" customHeight="1">
      <c r="A661" s="490"/>
      <c r="B661" s="293"/>
      <c r="C661" s="327" t="s">
        <v>742</v>
      </c>
      <c r="D661" s="328">
        <f>SUM(D658:D660)</f>
        <v>0</v>
      </c>
      <c r="E661" s="329"/>
      <c r="F661" s="329"/>
      <c r="G661" s="329"/>
      <c r="H661" s="329"/>
      <c r="I661" s="322" t="s">
        <v>743</v>
      </c>
      <c r="J661" s="325" t="s">
        <v>1059</v>
      </c>
      <c r="K661" s="326" t="s">
        <v>1057</v>
      </c>
      <c r="L661" s="326" t="s">
        <v>1057</v>
      </c>
      <c r="M661" s="326" t="s">
        <v>1057</v>
      </c>
      <c r="N661" s="323"/>
    </row>
    <row r="662" spans="1:14" ht="21" customHeight="1">
      <c r="A662" s="323" t="s">
        <v>744</v>
      </c>
      <c r="B662" s="330"/>
      <c r="C662" s="331"/>
      <c r="D662" s="332"/>
      <c r="E662" s="332"/>
      <c r="F662" s="332"/>
      <c r="G662" s="332"/>
      <c r="H662" s="332"/>
      <c r="I662" s="322" t="s">
        <v>745</v>
      </c>
      <c r="J662" s="294" t="s">
        <v>749</v>
      </c>
      <c r="K662" s="294" t="s">
        <v>749</v>
      </c>
      <c r="L662" s="294" t="s">
        <v>749</v>
      </c>
      <c r="M662" s="294"/>
      <c r="N662" s="323"/>
    </row>
    <row r="663" spans="1:14" ht="21" customHeight="1">
      <c r="A663" s="491" t="s">
        <v>746</v>
      </c>
      <c r="B663" s="333"/>
      <c r="C663" s="334"/>
      <c r="D663" s="334"/>
      <c r="E663" s="334"/>
      <c r="F663" s="334"/>
      <c r="G663" s="334"/>
      <c r="H663" s="334"/>
      <c r="I663" s="334"/>
      <c r="J663" s="335"/>
      <c r="K663" s="336"/>
      <c r="L663" s="336"/>
      <c r="M663" s="336"/>
      <c r="N663" s="309"/>
    </row>
    <row r="664" spans="1:14" ht="21" customHeight="1">
      <c r="A664" s="492"/>
      <c r="B664" s="307"/>
      <c r="C664" s="334"/>
      <c r="D664" s="334"/>
      <c r="E664" s="334"/>
      <c r="F664" s="334"/>
      <c r="G664" s="334"/>
      <c r="H664" s="334"/>
      <c r="I664" s="334"/>
      <c r="J664" s="334"/>
      <c r="K664" s="334"/>
      <c r="L664" s="334"/>
      <c r="M664" s="334"/>
      <c r="N664" s="337"/>
    </row>
    <row r="665" spans="1:14" ht="21" customHeight="1">
      <c r="A665" s="492"/>
      <c r="B665" s="307"/>
      <c r="C665" s="308"/>
      <c r="D665" s="308"/>
      <c r="E665" s="308"/>
      <c r="F665" s="308"/>
      <c r="G665" s="308"/>
      <c r="H665" s="308"/>
      <c r="I665" s="308"/>
      <c r="J665" s="308"/>
      <c r="K665" s="308"/>
      <c r="L665" s="308"/>
      <c r="M665" s="308"/>
      <c r="N665" s="309"/>
    </row>
    <row r="666" spans="1:14" ht="21" customHeight="1">
      <c r="A666" s="492"/>
      <c r="B666" s="307"/>
      <c r="C666" s="308"/>
      <c r="D666" s="308"/>
      <c r="E666" s="308"/>
      <c r="F666" s="308"/>
      <c r="G666" s="308"/>
      <c r="H666" s="308"/>
      <c r="I666" s="308"/>
      <c r="J666" s="308"/>
      <c r="K666" s="308"/>
      <c r="L666" s="308"/>
      <c r="M666" s="308"/>
      <c r="N666" s="309"/>
    </row>
    <row r="667" spans="1:14" ht="21" customHeight="1">
      <c r="A667" s="493"/>
      <c r="B667" s="338"/>
      <c r="C667" s="334"/>
      <c r="D667" s="334"/>
      <c r="E667" s="334"/>
      <c r="F667" s="334"/>
      <c r="G667" s="334"/>
      <c r="H667" s="334"/>
      <c r="I667" s="334"/>
      <c r="J667" s="334"/>
      <c r="K667" s="334"/>
      <c r="L667" s="334"/>
      <c r="M667" s="334"/>
      <c r="N667" s="339"/>
    </row>
    <row r="670" spans="1:14" ht="21" customHeight="1">
      <c r="A670" s="310" t="s">
        <v>727</v>
      </c>
      <c r="B670" s="310" t="s">
        <v>728</v>
      </c>
      <c r="C670" s="310" t="s">
        <v>729</v>
      </c>
      <c r="D670" s="311" t="s">
        <v>730</v>
      </c>
      <c r="E670" s="312" t="s">
        <v>731</v>
      </c>
      <c r="F670" s="313" t="s">
        <v>732</v>
      </c>
      <c r="G670" s="313" t="s">
        <v>733</v>
      </c>
      <c r="H670" s="313" t="s">
        <v>734</v>
      </c>
      <c r="I670" s="314" t="s">
        <v>459</v>
      </c>
      <c r="J670" s="315" t="s">
        <v>16</v>
      </c>
      <c r="K670" s="315" t="s">
        <v>463</v>
      </c>
      <c r="L670" s="315" t="s">
        <v>460</v>
      </c>
      <c r="M670" s="315" t="s">
        <v>18</v>
      </c>
      <c r="N670" s="315" t="s">
        <v>735</v>
      </c>
    </row>
    <row r="671" spans="1:14" ht="21" customHeight="1">
      <c r="A671" s="488"/>
      <c r="B671" s="343"/>
      <c r="C671" s="316" t="s">
        <v>736</v>
      </c>
      <c r="D671" s="317"/>
      <c r="E671" s="318"/>
      <c r="F671" s="318"/>
      <c r="G671" s="318"/>
      <c r="H671" s="318"/>
      <c r="I671" s="319" t="s">
        <v>737</v>
      </c>
      <c r="J671" s="320"/>
      <c r="K671" s="321"/>
      <c r="L671" s="320"/>
      <c r="M671" s="321"/>
      <c r="N671" s="320"/>
    </row>
    <row r="672" spans="1:14" ht="21" customHeight="1">
      <c r="A672" s="489"/>
      <c r="B672" s="292"/>
      <c r="C672" s="318" t="s">
        <v>738</v>
      </c>
      <c r="D672" s="317"/>
      <c r="E672" s="317"/>
      <c r="F672" s="318"/>
      <c r="G672" s="318"/>
      <c r="H672" s="318"/>
      <c r="I672" s="322" t="s">
        <v>739</v>
      </c>
      <c r="J672" s="323" t="s">
        <v>815</v>
      </c>
      <c r="K672" s="323" t="s">
        <v>815</v>
      </c>
      <c r="L672" s="323" t="s">
        <v>815</v>
      </c>
      <c r="M672" s="323" t="s">
        <v>815</v>
      </c>
      <c r="N672" s="324"/>
    </row>
    <row r="673" spans="1:14" ht="21" customHeight="1">
      <c r="A673" s="489"/>
      <c r="B673" s="292" t="s">
        <v>747</v>
      </c>
      <c r="C673" s="318" t="s">
        <v>740</v>
      </c>
      <c r="D673" s="318"/>
      <c r="E673" s="318"/>
      <c r="F673" s="318"/>
      <c r="G673" s="318"/>
      <c r="H673" s="318"/>
      <c r="I673" s="322" t="s">
        <v>741</v>
      </c>
      <c r="J673" s="325" t="s">
        <v>1055</v>
      </c>
      <c r="K673" s="325" t="s">
        <v>1056</v>
      </c>
      <c r="L673" s="325" t="s">
        <v>1056</v>
      </c>
      <c r="M673" s="326" t="s">
        <v>1058</v>
      </c>
      <c r="N673" s="323"/>
    </row>
    <row r="674" spans="1:14" ht="21" customHeight="1">
      <c r="A674" s="490"/>
      <c r="B674" s="293"/>
      <c r="C674" s="327" t="s">
        <v>742</v>
      </c>
      <c r="D674" s="328">
        <f>SUM(D671:D673)</f>
        <v>0</v>
      </c>
      <c r="E674" s="329"/>
      <c r="F674" s="329"/>
      <c r="G674" s="329"/>
      <c r="H674" s="329"/>
      <c r="I674" s="322" t="s">
        <v>743</v>
      </c>
      <c r="J674" s="325" t="s">
        <v>1059</v>
      </c>
      <c r="K674" s="326" t="s">
        <v>1057</v>
      </c>
      <c r="L674" s="326" t="s">
        <v>1057</v>
      </c>
      <c r="M674" s="326" t="s">
        <v>1057</v>
      </c>
      <c r="N674" s="323"/>
    </row>
    <row r="675" spans="1:14" ht="21" customHeight="1">
      <c r="A675" s="323" t="s">
        <v>744</v>
      </c>
      <c r="B675" s="330"/>
      <c r="C675" s="331"/>
      <c r="D675" s="332"/>
      <c r="E675" s="332"/>
      <c r="F675" s="332"/>
      <c r="G675" s="332"/>
      <c r="H675" s="332"/>
      <c r="I675" s="322" t="s">
        <v>745</v>
      </c>
      <c r="J675" s="294" t="s">
        <v>749</v>
      </c>
      <c r="K675" s="294" t="s">
        <v>749</v>
      </c>
      <c r="L675" s="294" t="s">
        <v>749</v>
      </c>
      <c r="M675" s="294"/>
      <c r="N675" s="323"/>
    </row>
    <row r="676" spans="1:14" ht="21" customHeight="1">
      <c r="A676" s="491" t="s">
        <v>746</v>
      </c>
      <c r="B676" s="333"/>
      <c r="C676" s="334"/>
      <c r="D676" s="334"/>
      <c r="E676" s="334"/>
      <c r="F676" s="334"/>
      <c r="G676" s="334"/>
      <c r="H676" s="334"/>
      <c r="I676" s="334"/>
      <c r="J676" s="335"/>
      <c r="K676" s="336"/>
      <c r="L676" s="336"/>
      <c r="M676" s="336"/>
      <c r="N676" s="309"/>
    </row>
    <row r="677" spans="1:14" ht="21" customHeight="1">
      <c r="A677" s="492"/>
      <c r="B677" s="307"/>
      <c r="C677" s="334"/>
      <c r="D677" s="334"/>
      <c r="E677" s="334"/>
      <c r="F677" s="334"/>
      <c r="G677" s="334"/>
      <c r="H677" s="334"/>
      <c r="I677" s="334"/>
      <c r="J677" s="334"/>
      <c r="K677" s="334"/>
      <c r="L677" s="334"/>
      <c r="M677" s="334"/>
      <c r="N677" s="337"/>
    </row>
    <row r="678" spans="1:14" ht="21" customHeight="1">
      <c r="A678" s="492"/>
      <c r="B678" s="307"/>
      <c r="C678" s="308"/>
      <c r="D678" s="308"/>
      <c r="E678" s="308"/>
      <c r="F678" s="308"/>
      <c r="G678" s="308"/>
      <c r="H678" s="308"/>
      <c r="I678" s="308"/>
      <c r="J678" s="308"/>
      <c r="K678" s="308"/>
      <c r="L678" s="308"/>
      <c r="M678" s="308"/>
      <c r="N678" s="309"/>
    </row>
    <row r="679" spans="1:14" ht="21" customHeight="1">
      <c r="A679" s="492"/>
      <c r="B679" s="307"/>
      <c r="C679" s="308"/>
      <c r="D679" s="308"/>
      <c r="E679" s="308"/>
      <c r="F679" s="308"/>
      <c r="G679" s="308"/>
      <c r="H679" s="308"/>
      <c r="I679" s="308"/>
      <c r="J679" s="308"/>
      <c r="K679" s="308"/>
      <c r="L679" s="308"/>
      <c r="M679" s="308"/>
      <c r="N679" s="309"/>
    </row>
    <row r="680" spans="1:14" ht="21" customHeight="1">
      <c r="A680" s="493"/>
      <c r="B680" s="338"/>
      <c r="C680" s="334"/>
      <c r="D680" s="334"/>
      <c r="E680" s="334"/>
      <c r="F680" s="334"/>
      <c r="G680" s="334"/>
      <c r="H680" s="334"/>
      <c r="I680" s="334"/>
      <c r="J680" s="334"/>
      <c r="K680" s="334"/>
      <c r="L680" s="334"/>
      <c r="M680" s="334"/>
      <c r="N680" s="339"/>
    </row>
    <row r="683" spans="1:14" ht="21" customHeight="1">
      <c r="A683" s="310" t="s">
        <v>727</v>
      </c>
      <c r="B683" s="310" t="s">
        <v>728</v>
      </c>
      <c r="C683" s="310" t="s">
        <v>729</v>
      </c>
      <c r="D683" s="311" t="s">
        <v>730</v>
      </c>
      <c r="E683" s="312" t="s">
        <v>731</v>
      </c>
      <c r="F683" s="313" t="s">
        <v>732</v>
      </c>
      <c r="G683" s="313" t="s">
        <v>733</v>
      </c>
      <c r="H683" s="313" t="s">
        <v>734</v>
      </c>
      <c r="I683" s="314" t="s">
        <v>459</v>
      </c>
      <c r="J683" s="315" t="s">
        <v>16</v>
      </c>
      <c r="K683" s="315" t="s">
        <v>463</v>
      </c>
      <c r="L683" s="315" t="s">
        <v>460</v>
      </c>
      <c r="M683" s="315" t="s">
        <v>18</v>
      </c>
      <c r="N683" s="315" t="s">
        <v>735</v>
      </c>
    </row>
    <row r="684" spans="1:14" ht="21" customHeight="1">
      <c r="A684" s="488"/>
      <c r="B684" s="343"/>
      <c r="C684" s="316" t="s">
        <v>736</v>
      </c>
      <c r="D684" s="317"/>
      <c r="E684" s="318"/>
      <c r="F684" s="318"/>
      <c r="G684" s="318"/>
      <c r="H684" s="318"/>
      <c r="I684" s="319" t="s">
        <v>737</v>
      </c>
      <c r="J684" s="320"/>
      <c r="K684" s="321"/>
      <c r="L684" s="320"/>
      <c r="M684" s="321"/>
      <c r="N684" s="320"/>
    </row>
    <row r="685" spans="1:14" ht="21" customHeight="1">
      <c r="A685" s="489"/>
      <c r="B685" s="292"/>
      <c r="C685" s="318" t="s">
        <v>738</v>
      </c>
      <c r="D685" s="317"/>
      <c r="E685" s="317"/>
      <c r="F685" s="318"/>
      <c r="G685" s="318"/>
      <c r="H685" s="318"/>
      <c r="I685" s="322" t="s">
        <v>739</v>
      </c>
      <c r="J685" s="323" t="s">
        <v>815</v>
      </c>
      <c r="K685" s="323" t="s">
        <v>815</v>
      </c>
      <c r="L685" s="323" t="s">
        <v>815</v>
      </c>
      <c r="M685" s="323" t="s">
        <v>815</v>
      </c>
      <c r="N685" s="324"/>
    </row>
    <row r="686" spans="1:14" ht="21" customHeight="1">
      <c r="A686" s="489"/>
      <c r="B686" s="292" t="s">
        <v>747</v>
      </c>
      <c r="C686" s="318" t="s">
        <v>740</v>
      </c>
      <c r="D686" s="318"/>
      <c r="E686" s="318"/>
      <c r="F686" s="318"/>
      <c r="G686" s="318"/>
      <c r="H686" s="318"/>
      <c r="I686" s="322" t="s">
        <v>741</v>
      </c>
      <c r="J686" s="325" t="s">
        <v>1055</v>
      </c>
      <c r="K686" s="325" t="s">
        <v>1056</v>
      </c>
      <c r="L686" s="325" t="s">
        <v>1056</v>
      </c>
      <c r="M686" s="326" t="s">
        <v>1058</v>
      </c>
      <c r="N686" s="323"/>
    </row>
    <row r="687" spans="1:14" ht="21" customHeight="1">
      <c r="A687" s="490"/>
      <c r="B687" s="293"/>
      <c r="C687" s="327" t="s">
        <v>742</v>
      </c>
      <c r="D687" s="328">
        <f>SUM(D684:D686)</f>
        <v>0</v>
      </c>
      <c r="E687" s="329"/>
      <c r="F687" s="329"/>
      <c r="G687" s="329"/>
      <c r="H687" s="329"/>
      <c r="I687" s="322" t="s">
        <v>743</v>
      </c>
      <c r="J687" s="325" t="s">
        <v>1059</v>
      </c>
      <c r="K687" s="326" t="s">
        <v>1057</v>
      </c>
      <c r="L687" s="326" t="s">
        <v>1057</v>
      </c>
      <c r="M687" s="326" t="s">
        <v>1057</v>
      </c>
      <c r="N687" s="323"/>
    </row>
    <row r="688" spans="1:14" ht="21" customHeight="1">
      <c r="A688" s="323" t="s">
        <v>744</v>
      </c>
      <c r="B688" s="330"/>
      <c r="C688" s="331"/>
      <c r="D688" s="332"/>
      <c r="E688" s="332"/>
      <c r="F688" s="332"/>
      <c r="G688" s="332"/>
      <c r="H688" s="332"/>
      <c r="I688" s="322" t="s">
        <v>745</v>
      </c>
      <c r="J688" s="294" t="s">
        <v>749</v>
      </c>
      <c r="K688" s="294" t="s">
        <v>749</v>
      </c>
      <c r="L688" s="294" t="s">
        <v>749</v>
      </c>
      <c r="M688" s="294"/>
      <c r="N688" s="323"/>
    </row>
    <row r="689" spans="1:14" ht="21" customHeight="1">
      <c r="A689" s="491" t="s">
        <v>746</v>
      </c>
      <c r="B689" s="333"/>
      <c r="C689" s="334"/>
      <c r="D689" s="334"/>
      <c r="E689" s="334"/>
      <c r="F689" s="334"/>
      <c r="G689" s="334"/>
      <c r="H689" s="334"/>
      <c r="I689" s="334"/>
      <c r="J689" s="335"/>
      <c r="K689" s="336"/>
      <c r="L689" s="336"/>
      <c r="M689" s="336"/>
      <c r="N689" s="309"/>
    </row>
    <row r="690" spans="1:14" ht="21" customHeight="1">
      <c r="A690" s="492"/>
      <c r="B690" s="307"/>
      <c r="C690" s="334"/>
      <c r="D690" s="334"/>
      <c r="E690" s="334"/>
      <c r="F690" s="334"/>
      <c r="G690" s="334"/>
      <c r="H690" s="334"/>
      <c r="I690" s="334"/>
      <c r="J690" s="334"/>
      <c r="K690" s="334"/>
      <c r="L690" s="334"/>
      <c r="M690" s="334"/>
      <c r="N690" s="337"/>
    </row>
    <row r="691" spans="1:14" ht="21" customHeight="1">
      <c r="A691" s="492"/>
      <c r="B691" s="307"/>
      <c r="C691" s="308"/>
      <c r="D691" s="308"/>
      <c r="E691" s="308"/>
      <c r="F691" s="308"/>
      <c r="G691" s="308"/>
      <c r="H691" s="308"/>
      <c r="I691" s="308"/>
      <c r="J691" s="308"/>
      <c r="K691" s="308"/>
      <c r="L691" s="308"/>
      <c r="M691" s="308"/>
      <c r="N691" s="309"/>
    </row>
    <row r="692" spans="1:14" ht="21" customHeight="1">
      <c r="A692" s="492"/>
      <c r="B692" s="307"/>
      <c r="C692" s="308"/>
      <c r="D692" s="308"/>
      <c r="E692" s="308"/>
      <c r="F692" s="308"/>
      <c r="G692" s="308"/>
      <c r="H692" s="308"/>
      <c r="I692" s="308"/>
      <c r="J692" s="308"/>
      <c r="K692" s="308"/>
      <c r="L692" s="308"/>
      <c r="M692" s="308"/>
      <c r="N692" s="309"/>
    </row>
    <row r="693" spans="1:14" ht="21" customHeight="1">
      <c r="A693" s="493"/>
      <c r="B693" s="338"/>
      <c r="C693" s="334"/>
      <c r="D693" s="334"/>
      <c r="E693" s="334"/>
      <c r="F693" s="334"/>
      <c r="G693" s="334"/>
      <c r="H693" s="334"/>
      <c r="I693" s="334"/>
      <c r="J693" s="334"/>
      <c r="K693" s="334"/>
      <c r="L693" s="334"/>
      <c r="M693" s="334"/>
      <c r="N693" s="339"/>
    </row>
    <row r="696" spans="1:14" ht="21" customHeight="1">
      <c r="A696" s="310" t="s">
        <v>727</v>
      </c>
      <c r="B696" s="310" t="s">
        <v>728</v>
      </c>
      <c r="C696" s="310" t="s">
        <v>729</v>
      </c>
      <c r="D696" s="311" t="s">
        <v>730</v>
      </c>
      <c r="E696" s="312" t="s">
        <v>731</v>
      </c>
      <c r="F696" s="313" t="s">
        <v>732</v>
      </c>
      <c r="G696" s="313" t="s">
        <v>733</v>
      </c>
      <c r="H696" s="313" t="s">
        <v>734</v>
      </c>
      <c r="I696" s="314" t="s">
        <v>459</v>
      </c>
      <c r="J696" s="315" t="s">
        <v>16</v>
      </c>
      <c r="K696" s="315" t="s">
        <v>463</v>
      </c>
      <c r="L696" s="315" t="s">
        <v>460</v>
      </c>
      <c r="M696" s="315" t="s">
        <v>18</v>
      </c>
      <c r="N696" s="315" t="s">
        <v>735</v>
      </c>
    </row>
    <row r="697" spans="1:14" ht="21" customHeight="1">
      <c r="A697" s="488"/>
      <c r="B697" s="343"/>
      <c r="C697" s="316" t="s">
        <v>736</v>
      </c>
      <c r="D697" s="317"/>
      <c r="E697" s="318"/>
      <c r="F697" s="318"/>
      <c r="G697" s="318"/>
      <c r="H697" s="318"/>
      <c r="I697" s="319" t="s">
        <v>737</v>
      </c>
      <c r="J697" s="320"/>
      <c r="K697" s="321"/>
      <c r="L697" s="320"/>
      <c r="M697" s="321"/>
      <c r="N697" s="320"/>
    </row>
    <row r="698" spans="1:14" ht="21" customHeight="1">
      <c r="A698" s="489"/>
      <c r="B698" s="292"/>
      <c r="C698" s="318" t="s">
        <v>738</v>
      </c>
      <c r="D698" s="317"/>
      <c r="E698" s="317"/>
      <c r="F698" s="318"/>
      <c r="G698" s="318"/>
      <c r="H698" s="318"/>
      <c r="I698" s="322" t="s">
        <v>739</v>
      </c>
      <c r="J698" s="323" t="s">
        <v>815</v>
      </c>
      <c r="K698" s="323" t="s">
        <v>815</v>
      </c>
      <c r="L698" s="323" t="s">
        <v>815</v>
      </c>
      <c r="M698" s="323" t="s">
        <v>815</v>
      </c>
      <c r="N698" s="324"/>
    </row>
    <row r="699" spans="1:14" ht="21" customHeight="1">
      <c r="A699" s="489"/>
      <c r="B699" s="292" t="s">
        <v>747</v>
      </c>
      <c r="C699" s="318" t="s">
        <v>740</v>
      </c>
      <c r="D699" s="318"/>
      <c r="E699" s="318"/>
      <c r="F699" s="318"/>
      <c r="G699" s="318"/>
      <c r="H699" s="318"/>
      <c r="I699" s="322" t="s">
        <v>741</v>
      </c>
      <c r="J699" s="325" t="s">
        <v>1055</v>
      </c>
      <c r="K699" s="325" t="s">
        <v>1056</v>
      </c>
      <c r="L699" s="325" t="s">
        <v>1056</v>
      </c>
      <c r="M699" s="326" t="s">
        <v>1058</v>
      </c>
      <c r="N699" s="323"/>
    </row>
    <row r="700" spans="1:14" ht="21" customHeight="1">
      <c r="A700" s="490"/>
      <c r="B700" s="293"/>
      <c r="C700" s="327" t="s">
        <v>742</v>
      </c>
      <c r="D700" s="328">
        <f>SUM(D697:D699)</f>
        <v>0</v>
      </c>
      <c r="E700" s="329"/>
      <c r="F700" s="329"/>
      <c r="G700" s="329"/>
      <c r="H700" s="329"/>
      <c r="I700" s="322" t="s">
        <v>743</v>
      </c>
      <c r="J700" s="325" t="s">
        <v>1059</v>
      </c>
      <c r="K700" s="326" t="s">
        <v>1057</v>
      </c>
      <c r="L700" s="326" t="s">
        <v>1057</v>
      </c>
      <c r="M700" s="326" t="s">
        <v>1057</v>
      </c>
      <c r="N700" s="323"/>
    </row>
    <row r="701" spans="1:14" ht="21" customHeight="1">
      <c r="A701" s="323" t="s">
        <v>744</v>
      </c>
      <c r="B701" s="330"/>
      <c r="C701" s="331"/>
      <c r="D701" s="332"/>
      <c r="E701" s="332"/>
      <c r="F701" s="332"/>
      <c r="G701" s="332"/>
      <c r="H701" s="332"/>
      <c r="I701" s="322" t="s">
        <v>745</v>
      </c>
      <c r="J701" s="294" t="s">
        <v>749</v>
      </c>
      <c r="K701" s="294" t="s">
        <v>749</v>
      </c>
      <c r="L701" s="294" t="s">
        <v>749</v>
      </c>
      <c r="M701" s="294"/>
      <c r="N701" s="323"/>
    </row>
    <row r="702" spans="1:14" ht="21" customHeight="1">
      <c r="A702" s="491" t="s">
        <v>746</v>
      </c>
      <c r="B702" s="333"/>
      <c r="C702" s="334"/>
      <c r="D702" s="334"/>
      <c r="E702" s="334"/>
      <c r="F702" s="334"/>
      <c r="G702" s="334"/>
      <c r="H702" s="334"/>
      <c r="I702" s="334"/>
      <c r="J702" s="335"/>
      <c r="K702" s="336"/>
      <c r="L702" s="336"/>
      <c r="M702" s="336"/>
      <c r="N702" s="309"/>
    </row>
    <row r="703" spans="1:14" ht="21" customHeight="1">
      <c r="A703" s="492"/>
      <c r="B703" s="307"/>
      <c r="C703" s="334"/>
      <c r="D703" s="334"/>
      <c r="E703" s="334"/>
      <c r="F703" s="334"/>
      <c r="G703" s="334"/>
      <c r="H703" s="334"/>
      <c r="I703" s="334"/>
      <c r="J703" s="334"/>
      <c r="K703" s="334"/>
      <c r="L703" s="334"/>
      <c r="M703" s="334"/>
      <c r="N703" s="337"/>
    </row>
    <row r="704" spans="1:14" ht="21" customHeight="1">
      <c r="A704" s="492"/>
      <c r="B704" s="307"/>
      <c r="C704" s="308"/>
      <c r="D704" s="308"/>
      <c r="E704" s="308"/>
      <c r="F704" s="308"/>
      <c r="G704" s="308"/>
      <c r="H704" s="308"/>
      <c r="I704" s="308"/>
      <c r="J704" s="308"/>
      <c r="K704" s="308"/>
      <c r="L704" s="308"/>
      <c r="M704" s="308"/>
      <c r="N704" s="309"/>
    </row>
    <row r="705" spans="1:14" ht="21" customHeight="1">
      <c r="A705" s="492"/>
      <c r="B705" s="307"/>
      <c r="C705" s="308"/>
      <c r="D705" s="308"/>
      <c r="E705" s="308"/>
      <c r="F705" s="308"/>
      <c r="G705" s="308"/>
      <c r="H705" s="308"/>
      <c r="I705" s="308"/>
      <c r="J705" s="308"/>
      <c r="K705" s="308"/>
      <c r="L705" s="308"/>
      <c r="M705" s="308"/>
      <c r="N705" s="309"/>
    </row>
    <row r="706" spans="1:14" ht="21" customHeight="1">
      <c r="A706" s="493"/>
      <c r="B706" s="338"/>
      <c r="C706" s="334"/>
      <c r="D706" s="334"/>
      <c r="E706" s="334"/>
      <c r="F706" s="334"/>
      <c r="G706" s="334"/>
      <c r="H706" s="334"/>
      <c r="I706" s="334"/>
      <c r="J706" s="334"/>
      <c r="K706" s="334"/>
      <c r="L706" s="334"/>
      <c r="M706" s="334"/>
      <c r="N706" s="339"/>
    </row>
  </sheetData>
  <mergeCells count="110">
    <mergeCell ref="A637:A641"/>
    <mergeCell ref="A211:A214"/>
    <mergeCell ref="A216:A220"/>
    <mergeCell ref="A606:A609"/>
    <mergeCell ref="A611:A615"/>
    <mergeCell ref="A619:A622"/>
    <mergeCell ref="A624:A628"/>
    <mergeCell ref="A632:A635"/>
    <mergeCell ref="A573:A577"/>
    <mergeCell ref="A581:A584"/>
    <mergeCell ref="A586:A590"/>
    <mergeCell ref="A593:A596"/>
    <mergeCell ref="A598:A602"/>
    <mergeCell ref="A288:A291"/>
    <mergeCell ref="A293:A297"/>
    <mergeCell ref="A400:A403"/>
    <mergeCell ref="A568:A571"/>
    <mergeCell ref="A280:A284"/>
    <mergeCell ref="A267:A271"/>
    <mergeCell ref="A275:A278"/>
    <mergeCell ref="A343:A347"/>
    <mergeCell ref="A439:A442"/>
    <mergeCell ref="A444:A448"/>
    <mergeCell ref="A367:A371"/>
    <mergeCell ref="A198:A201"/>
    <mergeCell ref="A203:A207"/>
    <mergeCell ref="A223:A226"/>
    <mergeCell ref="A228:A232"/>
    <mergeCell ref="A236:A239"/>
    <mergeCell ref="A241:A245"/>
    <mergeCell ref="A248:A251"/>
    <mergeCell ref="A253:A258"/>
    <mergeCell ref="A262:A265"/>
    <mergeCell ref="A393:A397"/>
    <mergeCell ref="A388:A391"/>
    <mergeCell ref="A374:A377"/>
    <mergeCell ref="A426:A429"/>
    <mergeCell ref="A431:A435"/>
    <mergeCell ref="A379:A384"/>
    <mergeCell ref="A413:A416"/>
    <mergeCell ref="A418:A422"/>
    <mergeCell ref="A405:A409"/>
    <mergeCell ref="A300:A303"/>
    <mergeCell ref="A305:A309"/>
    <mergeCell ref="A325:A328"/>
    <mergeCell ref="A330:A334"/>
    <mergeCell ref="A312:A315"/>
    <mergeCell ref="A317:A321"/>
    <mergeCell ref="A350:A353"/>
    <mergeCell ref="A355:A359"/>
    <mergeCell ref="A362:A365"/>
    <mergeCell ref="A338:A341"/>
    <mergeCell ref="A172:A175"/>
    <mergeCell ref="A177:A181"/>
    <mergeCell ref="A185:A188"/>
    <mergeCell ref="A190:A194"/>
    <mergeCell ref="A132:A135"/>
    <mergeCell ref="A137:A142"/>
    <mergeCell ref="A146:A149"/>
    <mergeCell ref="A151:A155"/>
    <mergeCell ref="A159:A162"/>
    <mergeCell ref="A164:A168"/>
    <mergeCell ref="A60:A64"/>
    <mergeCell ref="A3:A6"/>
    <mergeCell ref="A8:A12"/>
    <mergeCell ref="A16:A19"/>
    <mergeCell ref="A21:A25"/>
    <mergeCell ref="A29:A32"/>
    <mergeCell ref="A34:A38"/>
    <mergeCell ref="A42:A45"/>
    <mergeCell ref="A47:A51"/>
    <mergeCell ref="A55:A58"/>
    <mergeCell ref="A68:A71"/>
    <mergeCell ref="A73:A77"/>
    <mergeCell ref="A125:A129"/>
    <mergeCell ref="A120:A123"/>
    <mergeCell ref="A94:A97"/>
    <mergeCell ref="A99:A103"/>
    <mergeCell ref="A107:A110"/>
    <mergeCell ref="A112:A116"/>
    <mergeCell ref="A81:A84"/>
    <mergeCell ref="A86:A90"/>
    <mergeCell ref="A555:A558"/>
    <mergeCell ref="A560:A564"/>
    <mergeCell ref="A516:A519"/>
    <mergeCell ref="A503:A506"/>
    <mergeCell ref="A508:A512"/>
    <mergeCell ref="A529:A532"/>
    <mergeCell ref="A534:A538"/>
    <mergeCell ref="A542:A545"/>
    <mergeCell ref="A521:A525"/>
    <mergeCell ref="A452:A455"/>
    <mergeCell ref="A457:A461"/>
    <mergeCell ref="A490:A493"/>
    <mergeCell ref="A495:A499"/>
    <mergeCell ref="A465:A468"/>
    <mergeCell ref="A470:A474"/>
    <mergeCell ref="A478:A481"/>
    <mergeCell ref="A483:A487"/>
    <mergeCell ref="A547:A551"/>
    <mergeCell ref="A697:A700"/>
    <mergeCell ref="A702:A706"/>
    <mergeCell ref="A676:A680"/>
    <mergeCell ref="A684:A687"/>
    <mergeCell ref="A689:A693"/>
    <mergeCell ref="A645:A648"/>
    <mergeCell ref="A650:A654"/>
    <mergeCell ref="A658:A661"/>
    <mergeCell ref="A663:A667"/>
    <mergeCell ref="A671:A674"/>
  </mergeCells>
  <phoneticPr fontId="3" type="noConversion"/>
  <pageMargins left="0.17" right="0.17" top="0.78" bottom="0.3" header="0.36" footer="0"/>
  <pageSetup paperSize="9" scale="94" fitToHeight="0" orientation="landscape" r:id="rId1"/>
  <headerFooter>
    <oddFooter>&amp;C&amp;P</oddFooter>
  </headerFooter>
  <rowBreaks count="27" manualBreakCount="27">
    <brk id="26" max="13" man="1"/>
    <brk id="52" max="13" man="1"/>
    <brk id="78" max="13" man="1"/>
    <brk id="104" max="13" man="1"/>
    <brk id="129" max="13" man="1"/>
    <brk id="155" max="13" man="1"/>
    <brk id="181" max="13" man="1"/>
    <brk id="207" max="13" man="1"/>
    <brk id="232" max="13" man="1"/>
    <brk id="258" max="13" man="1"/>
    <brk id="284" max="13" man="1"/>
    <brk id="309" max="13" man="1"/>
    <brk id="334" max="13" man="1"/>
    <brk id="359" max="13" man="1"/>
    <brk id="384" max="13" man="1"/>
    <brk id="409" max="13" man="1"/>
    <brk id="435" max="13" man="1"/>
    <brk id="461" max="13" man="1"/>
    <brk id="487" max="13" man="1"/>
    <brk id="512" max="13" man="1"/>
    <brk id="538" max="13" man="1"/>
    <brk id="564" max="13" man="1"/>
    <brk id="577" max="13" man="1"/>
    <brk id="602" max="13" man="1"/>
    <brk id="628" max="13" man="1"/>
    <brk id="654" max="13" man="1"/>
    <brk id="680" max="1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30"/>
  <sheetViews>
    <sheetView zoomScaleNormal="100" workbookViewId="0">
      <selection activeCell="E14" sqref="E14"/>
    </sheetView>
  </sheetViews>
  <sheetFormatPr defaultRowHeight="16.5"/>
  <cols>
    <col min="1" max="1" width="9" style="30"/>
    <col min="2" max="2" width="29.25" style="30" customWidth="1"/>
    <col min="3" max="8" width="12.625" style="30" customWidth="1"/>
  </cols>
  <sheetData>
    <row r="1" spans="1:8" ht="42.75" customHeight="1" thickTop="1" thickBot="1">
      <c r="A1" s="507" t="s">
        <v>10</v>
      </c>
      <c r="B1" s="507"/>
      <c r="C1" s="507"/>
      <c r="D1" s="507"/>
      <c r="E1" s="507"/>
      <c r="F1" s="507"/>
      <c r="G1" s="507"/>
      <c r="H1" s="507"/>
    </row>
    <row r="2" spans="1:8" ht="21.75" customHeight="1" thickTop="1"/>
    <row r="3" spans="1:8" ht="30" customHeight="1">
      <c r="A3" s="496" t="s">
        <v>11</v>
      </c>
      <c r="B3" s="31" t="s">
        <v>12</v>
      </c>
      <c r="C3" s="31" t="s">
        <v>13</v>
      </c>
      <c r="D3" s="32" t="s">
        <v>14</v>
      </c>
      <c r="E3" s="32" t="s">
        <v>15</v>
      </c>
      <c r="F3" s="32" t="s">
        <v>16</v>
      </c>
      <c r="G3" s="32" t="s">
        <v>17</v>
      </c>
      <c r="H3" s="32" t="s">
        <v>18</v>
      </c>
    </row>
    <row r="4" spans="1:8" ht="25.5" customHeight="1">
      <c r="A4" s="497"/>
      <c r="B4" s="33" t="s">
        <v>19</v>
      </c>
      <c r="C4" s="33">
        <v>52</v>
      </c>
      <c r="D4" s="40">
        <v>4</v>
      </c>
      <c r="E4" s="34"/>
      <c r="F4" s="40">
        <v>10</v>
      </c>
      <c r="G4" s="40">
        <v>2</v>
      </c>
      <c r="H4" s="35">
        <v>4</v>
      </c>
    </row>
    <row r="5" spans="1:8" ht="25.5" customHeight="1">
      <c r="A5" s="497"/>
      <c r="B5" s="33" t="s">
        <v>20</v>
      </c>
      <c r="C5" s="33">
        <v>32</v>
      </c>
      <c r="D5" s="46">
        <v>7</v>
      </c>
      <c r="E5" s="36"/>
      <c r="F5" s="46">
        <v>9</v>
      </c>
      <c r="G5" s="46">
        <v>4</v>
      </c>
      <c r="H5" s="37">
        <v>2</v>
      </c>
    </row>
    <row r="6" spans="1:8" ht="25.5" customHeight="1">
      <c r="A6" s="497"/>
      <c r="B6" s="33" t="s">
        <v>21</v>
      </c>
      <c r="C6" s="33">
        <v>38</v>
      </c>
      <c r="D6" s="34">
        <v>3</v>
      </c>
      <c r="E6" s="34"/>
      <c r="F6" s="38">
        <v>7</v>
      </c>
      <c r="G6" s="34">
        <v>2</v>
      </c>
      <c r="H6" s="39">
        <v>0</v>
      </c>
    </row>
    <row r="7" spans="1:8" ht="25.5" customHeight="1">
      <c r="A7" s="497"/>
      <c r="B7" s="33" t="s">
        <v>22</v>
      </c>
      <c r="C7" s="33">
        <v>53</v>
      </c>
      <c r="D7" s="40">
        <v>10</v>
      </c>
      <c r="E7" s="34"/>
      <c r="F7" s="40">
        <v>16</v>
      </c>
      <c r="G7" s="305">
        <v>1</v>
      </c>
      <c r="H7" s="39">
        <v>1</v>
      </c>
    </row>
    <row r="8" spans="1:8" ht="25.5" customHeight="1">
      <c r="A8" s="497"/>
      <c r="B8" s="33" t="s">
        <v>23</v>
      </c>
      <c r="C8" s="33">
        <v>48</v>
      </c>
      <c r="D8" s="36">
        <v>2</v>
      </c>
      <c r="E8" s="34"/>
      <c r="F8" s="34">
        <v>8</v>
      </c>
      <c r="G8" s="34">
        <v>2</v>
      </c>
      <c r="H8" s="39">
        <v>0</v>
      </c>
    </row>
    <row r="9" spans="1:8" ht="25.5" customHeight="1">
      <c r="A9" s="497"/>
      <c r="B9" s="33" t="s">
        <v>24</v>
      </c>
      <c r="C9" s="33">
        <v>35</v>
      </c>
      <c r="D9" s="40">
        <v>7</v>
      </c>
      <c r="E9" s="34"/>
      <c r="F9" s="40">
        <v>6</v>
      </c>
      <c r="G9" s="34"/>
      <c r="H9" s="39">
        <v>4</v>
      </c>
    </row>
    <row r="10" spans="1:8" ht="25.5" customHeight="1" thickBot="1">
      <c r="A10" s="497"/>
      <c r="B10" s="41" t="s">
        <v>25</v>
      </c>
      <c r="C10" s="41">
        <f>SUM(C4:C9)</f>
        <v>258</v>
      </c>
      <c r="D10" s="41">
        <f t="shared" ref="D10:H10" si="0">SUM(D4:D9)</f>
        <v>33</v>
      </c>
      <c r="E10" s="41">
        <f t="shared" si="0"/>
        <v>0</v>
      </c>
      <c r="F10" s="41">
        <f t="shared" si="0"/>
        <v>56</v>
      </c>
      <c r="G10" s="41">
        <f t="shared" si="0"/>
        <v>11</v>
      </c>
      <c r="H10" s="41">
        <f t="shared" si="0"/>
        <v>11</v>
      </c>
    </row>
    <row r="11" spans="1:8" ht="25.5" customHeight="1" thickTop="1">
      <c r="A11" s="497"/>
      <c r="B11" s="499" t="s">
        <v>26</v>
      </c>
      <c r="C11" s="500"/>
      <c r="D11" s="42">
        <v>8</v>
      </c>
      <c r="E11" s="42">
        <v>32</v>
      </c>
      <c r="F11" s="42">
        <v>36</v>
      </c>
      <c r="G11" s="42">
        <v>23</v>
      </c>
      <c r="H11" s="42">
        <v>7</v>
      </c>
    </row>
    <row r="12" spans="1:8" ht="25.5" customHeight="1">
      <c r="A12" s="497"/>
      <c r="B12" s="494" t="s">
        <v>27</v>
      </c>
      <c r="C12" s="495"/>
      <c r="D12" s="43">
        <f>D11/C10</f>
        <v>3.1007751937984496E-2</v>
      </c>
      <c r="E12" s="43">
        <f>E11/C10</f>
        <v>0.12403100775193798</v>
      </c>
      <c r="F12" s="43">
        <f>F11/C10</f>
        <v>0.13953488372093023</v>
      </c>
      <c r="G12" s="43">
        <f>G11/C10</f>
        <v>8.9147286821705432E-2</v>
      </c>
      <c r="H12" s="43">
        <f>H11/C10</f>
        <v>2.7131782945736434E-2</v>
      </c>
    </row>
    <row r="13" spans="1:8" ht="25.5" customHeight="1">
      <c r="A13" s="497"/>
      <c r="B13" s="494" t="s">
        <v>28</v>
      </c>
      <c r="C13" s="495"/>
      <c r="D13" s="44">
        <v>3</v>
      </c>
      <c r="E13" s="44"/>
      <c r="F13" s="44">
        <v>11</v>
      </c>
      <c r="G13" s="44">
        <v>2</v>
      </c>
      <c r="H13" s="44">
        <v>2</v>
      </c>
    </row>
    <row r="14" spans="1:8" ht="25.5" customHeight="1">
      <c r="A14" s="498"/>
      <c r="B14" s="494" t="s">
        <v>29</v>
      </c>
      <c r="C14" s="495"/>
      <c r="D14" s="45">
        <f>D13/D10</f>
        <v>9.0909090909090912E-2</v>
      </c>
      <c r="E14" s="45"/>
      <c r="F14" s="45">
        <f>F13/F10</f>
        <v>0.19642857142857142</v>
      </c>
      <c r="G14" s="45">
        <f t="shared" ref="G14" si="1">G13/G10</f>
        <v>0.18181818181818182</v>
      </c>
      <c r="H14" s="45">
        <f>H13/C10</f>
        <v>7.7519379844961239E-3</v>
      </c>
    </row>
    <row r="15" spans="1:8" ht="30.75" customHeight="1">
      <c r="A15" s="496" t="s">
        <v>30</v>
      </c>
      <c r="B15" s="31" t="s">
        <v>12</v>
      </c>
      <c r="C15" s="31" t="s">
        <v>13</v>
      </c>
      <c r="D15" s="32" t="s">
        <v>14</v>
      </c>
      <c r="E15" s="32" t="s">
        <v>15</v>
      </c>
      <c r="F15" s="32" t="s">
        <v>16</v>
      </c>
      <c r="G15" s="32" t="s">
        <v>17</v>
      </c>
      <c r="H15" s="32" t="s">
        <v>18</v>
      </c>
    </row>
    <row r="16" spans="1:8" ht="25.5" customHeight="1">
      <c r="A16" s="497"/>
      <c r="B16" s="33" t="s">
        <v>31</v>
      </c>
      <c r="C16" s="33">
        <v>45</v>
      </c>
      <c r="D16" s="36">
        <v>3</v>
      </c>
      <c r="E16" s="36"/>
      <c r="F16" s="46">
        <v>16</v>
      </c>
      <c r="G16" s="46">
        <v>7</v>
      </c>
      <c r="H16" s="37">
        <v>0</v>
      </c>
    </row>
    <row r="17" spans="1:8" ht="25.5" customHeight="1">
      <c r="A17" s="497"/>
      <c r="B17" s="33" t="s">
        <v>32</v>
      </c>
      <c r="C17" s="33">
        <v>47</v>
      </c>
      <c r="D17" s="40">
        <v>6</v>
      </c>
      <c r="E17" s="34"/>
      <c r="F17" s="40">
        <v>16</v>
      </c>
      <c r="G17" s="34">
        <v>4</v>
      </c>
      <c r="H17" s="33">
        <v>0</v>
      </c>
    </row>
    <row r="18" spans="1:8" ht="25.5" customHeight="1">
      <c r="A18" s="497"/>
      <c r="B18" s="33" t="s">
        <v>33</v>
      </c>
      <c r="C18" s="33">
        <v>18</v>
      </c>
      <c r="D18" s="34">
        <v>1</v>
      </c>
      <c r="E18" s="34"/>
      <c r="F18" s="36">
        <v>4</v>
      </c>
      <c r="G18" s="36">
        <v>1</v>
      </c>
      <c r="H18" s="39">
        <v>1</v>
      </c>
    </row>
    <row r="19" spans="1:8" ht="25.5" customHeight="1">
      <c r="A19" s="497"/>
      <c r="B19" s="33" t="s">
        <v>34</v>
      </c>
      <c r="C19" s="33">
        <v>28</v>
      </c>
      <c r="D19" s="47"/>
      <c r="E19" s="47"/>
      <c r="F19" s="47">
        <v>5</v>
      </c>
      <c r="G19" s="36">
        <v>4</v>
      </c>
      <c r="H19" s="39">
        <v>0</v>
      </c>
    </row>
    <row r="20" spans="1:8" ht="25.5" customHeight="1">
      <c r="A20" s="497"/>
      <c r="B20" s="33" t="s">
        <v>35</v>
      </c>
      <c r="C20" s="33">
        <v>25</v>
      </c>
      <c r="D20" s="34">
        <v>2</v>
      </c>
      <c r="E20" s="34"/>
      <c r="F20" s="40">
        <v>9</v>
      </c>
      <c r="G20" s="34">
        <v>6</v>
      </c>
      <c r="H20" s="33">
        <v>0</v>
      </c>
    </row>
    <row r="21" spans="1:8" ht="25.5" customHeight="1" thickBot="1">
      <c r="A21" s="497"/>
      <c r="B21" s="41" t="s">
        <v>36</v>
      </c>
      <c r="C21" s="41">
        <f>SUM(C16:C20)</f>
        <v>163</v>
      </c>
      <c r="D21" s="41">
        <f t="shared" ref="D21:G21" si="2">SUM(D16:D20)</f>
        <v>12</v>
      </c>
      <c r="E21" s="41">
        <f t="shared" si="2"/>
        <v>0</v>
      </c>
      <c r="F21" s="41">
        <f t="shared" si="2"/>
        <v>50</v>
      </c>
      <c r="G21" s="41">
        <f t="shared" si="2"/>
        <v>22</v>
      </c>
      <c r="H21" s="41">
        <v>1</v>
      </c>
    </row>
    <row r="22" spans="1:8" ht="25.5" customHeight="1" thickTop="1">
      <c r="A22" s="497"/>
      <c r="B22" s="499" t="s">
        <v>26</v>
      </c>
      <c r="C22" s="500"/>
      <c r="D22" s="42">
        <v>4</v>
      </c>
      <c r="E22" s="42">
        <v>13</v>
      </c>
      <c r="F22" s="42">
        <v>16</v>
      </c>
      <c r="G22" s="42">
        <v>10</v>
      </c>
      <c r="H22" s="42">
        <v>3</v>
      </c>
    </row>
    <row r="23" spans="1:8" ht="25.5" customHeight="1">
      <c r="A23" s="497"/>
      <c r="B23" s="494" t="s">
        <v>27</v>
      </c>
      <c r="C23" s="495"/>
      <c r="D23" s="43">
        <f>D22/C21</f>
        <v>2.4539877300613498E-2</v>
      </c>
      <c r="E23" s="43">
        <f>E22/C21</f>
        <v>7.9754601226993863E-2</v>
      </c>
      <c r="F23" s="43">
        <f>F22/C21</f>
        <v>9.815950920245399E-2</v>
      </c>
      <c r="G23" s="43">
        <f>G22/C21</f>
        <v>6.1349693251533742E-2</v>
      </c>
      <c r="H23" s="43">
        <f>H22/C21</f>
        <v>1.8404907975460124E-2</v>
      </c>
    </row>
    <row r="24" spans="1:8" ht="25.5" customHeight="1">
      <c r="A24" s="497"/>
      <c r="B24" s="494" t="s">
        <v>28</v>
      </c>
      <c r="C24" s="495"/>
      <c r="D24" s="18">
        <v>1</v>
      </c>
      <c r="E24" s="18"/>
      <c r="F24" s="18">
        <v>10</v>
      </c>
      <c r="G24" s="18">
        <v>4</v>
      </c>
      <c r="H24" s="18">
        <v>2</v>
      </c>
    </row>
    <row r="25" spans="1:8" ht="25.5" customHeight="1" thickBot="1">
      <c r="A25" s="498"/>
      <c r="B25" s="501" t="s">
        <v>29</v>
      </c>
      <c r="C25" s="502"/>
      <c r="D25" s="48">
        <f>D24/D21</f>
        <v>8.3333333333333329E-2</v>
      </c>
      <c r="E25" s="48"/>
      <c r="F25" s="48">
        <f>F24/F21</f>
        <v>0.2</v>
      </c>
      <c r="G25" s="48">
        <f>G24/G21</f>
        <v>0.18181818181818182</v>
      </c>
      <c r="H25" s="48">
        <f>H24/C21</f>
        <v>1.2269938650306749E-2</v>
      </c>
    </row>
    <row r="26" spans="1:8" ht="25.5" customHeight="1" thickTop="1">
      <c r="A26" s="503" t="s">
        <v>37</v>
      </c>
      <c r="B26" s="504" t="s">
        <v>36</v>
      </c>
      <c r="C26" s="505"/>
      <c r="D26" s="49">
        <f>D21+D10</f>
        <v>45</v>
      </c>
      <c r="E26" s="49">
        <f t="shared" ref="E26:H27" si="3">E21+E10</f>
        <v>0</v>
      </c>
      <c r="F26" s="49">
        <f t="shared" si="3"/>
        <v>106</v>
      </c>
      <c r="G26" s="49">
        <f t="shared" si="3"/>
        <v>33</v>
      </c>
      <c r="H26" s="49">
        <f t="shared" si="3"/>
        <v>12</v>
      </c>
    </row>
    <row r="27" spans="1:8" ht="25.5" customHeight="1">
      <c r="A27" s="503"/>
      <c r="B27" s="506" t="s">
        <v>26</v>
      </c>
      <c r="C27" s="506"/>
      <c r="D27" s="34">
        <f>D22+D11</f>
        <v>12</v>
      </c>
      <c r="E27" s="34">
        <f t="shared" si="3"/>
        <v>45</v>
      </c>
      <c r="F27" s="34">
        <f t="shared" si="3"/>
        <v>52</v>
      </c>
      <c r="G27" s="34">
        <f t="shared" si="3"/>
        <v>33</v>
      </c>
      <c r="H27" s="34">
        <f t="shared" si="3"/>
        <v>10</v>
      </c>
    </row>
    <row r="28" spans="1:8" ht="25.5" customHeight="1">
      <c r="A28" s="503"/>
      <c r="B28" s="494" t="s">
        <v>27</v>
      </c>
      <c r="C28" s="495"/>
      <c r="D28" s="50">
        <f>D27/(C21+C10)</f>
        <v>2.8503562945368172E-2</v>
      </c>
      <c r="E28" s="50">
        <f>E27/421</f>
        <v>0.10688836104513064</v>
      </c>
      <c r="F28" s="50">
        <f>F27/421</f>
        <v>0.12351543942992874</v>
      </c>
      <c r="G28" s="50">
        <f>G27/421</f>
        <v>7.8384798099762468E-2</v>
      </c>
      <c r="H28" s="50">
        <f>H27/421</f>
        <v>2.3752969121140142E-2</v>
      </c>
    </row>
    <row r="29" spans="1:8" ht="25.5" customHeight="1">
      <c r="A29" s="503"/>
      <c r="B29" s="494" t="s">
        <v>38</v>
      </c>
      <c r="C29" s="495"/>
      <c r="D29" s="18">
        <f>D13+D24</f>
        <v>4</v>
      </c>
      <c r="E29" s="18">
        <f t="shared" ref="E29:H29" si="4">E13+E24</f>
        <v>0</v>
      </c>
      <c r="F29" s="18">
        <f t="shared" si="4"/>
        <v>21</v>
      </c>
      <c r="G29" s="18">
        <f t="shared" si="4"/>
        <v>6</v>
      </c>
      <c r="H29" s="18">
        <f t="shared" si="4"/>
        <v>4</v>
      </c>
    </row>
    <row r="30" spans="1:8" ht="25.5" customHeight="1">
      <c r="A30" s="503"/>
      <c r="B30" s="494" t="s">
        <v>29</v>
      </c>
      <c r="C30" s="495"/>
      <c r="D30" s="45">
        <f>D29/(D10+D21)</f>
        <v>8.8888888888888892E-2</v>
      </c>
      <c r="E30" s="45"/>
      <c r="F30" s="45">
        <f>F29/(F10+F21)</f>
        <v>0.19811320754716982</v>
      </c>
      <c r="G30" s="45">
        <f>G29/(G10+G21)</f>
        <v>0.18181818181818182</v>
      </c>
      <c r="H30" s="45"/>
    </row>
  </sheetData>
  <mergeCells count="17">
    <mergeCell ref="A1:H1"/>
    <mergeCell ref="A3:A14"/>
    <mergeCell ref="B11:C11"/>
    <mergeCell ref="B12:C12"/>
    <mergeCell ref="B13:C13"/>
    <mergeCell ref="B14:C14"/>
    <mergeCell ref="B30:C30"/>
    <mergeCell ref="A15:A25"/>
    <mergeCell ref="B22:C22"/>
    <mergeCell ref="B23:C23"/>
    <mergeCell ref="B24:C24"/>
    <mergeCell ref="B25:C25"/>
    <mergeCell ref="A26:A30"/>
    <mergeCell ref="B26:C26"/>
    <mergeCell ref="B27:C27"/>
    <mergeCell ref="B28:C28"/>
    <mergeCell ref="B29:C29"/>
  </mergeCells>
  <phoneticPr fontId="3" type="noConversion"/>
  <pageMargins left="0.7" right="0.7" top="0.75" bottom="0.75" header="0.3" footer="0.3"/>
  <pageSetup paperSize="9" scale="7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pageSetUpPr fitToPage="1"/>
  </sheetPr>
  <dimension ref="A1:T171"/>
  <sheetViews>
    <sheetView zoomScaleNormal="100" workbookViewId="0">
      <pane xSplit="5" ySplit="1" topLeftCell="F146" activePane="bottomRight" state="frozen"/>
      <selection pane="topRight" activeCell="F1" sqref="F1"/>
      <selection pane="bottomLeft" activeCell="A2" sqref="A2"/>
      <selection pane="bottomRight" activeCell="F25" sqref="F25"/>
    </sheetView>
  </sheetViews>
  <sheetFormatPr defaultRowHeight="16.5"/>
  <cols>
    <col min="1" max="1" width="7.75" style="30" customWidth="1"/>
    <col min="2" max="2" width="9" style="30" bestFit="1" customWidth="1"/>
    <col min="3" max="3" width="25.75" bestFit="1" customWidth="1"/>
    <col min="4" max="5" width="8.625" customWidth="1"/>
    <col min="6" max="7" width="12.625" customWidth="1"/>
    <col min="8" max="15" width="12.625" style="30" customWidth="1"/>
    <col min="16" max="20" width="15.625" style="30" customWidth="1"/>
  </cols>
  <sheetData>
    <row r="1" spans="1:20" ht="19.5" customHeight="1" thickBot="1">
      <c r="A1" s="51"/>
      <c r="B1" s="51"/>
      <c r="C1" s="51"/>
      <c r="D1" s="51"/>
      <c r="E1" s="51"/>
      <c r="F1" s="510">
        <v>2025</v>
      </c>
      <c r="G1" s="511"/>
      <c r="H1" s="511"/>
      <c r="I1" s="511"/>
      <c r="J1" s="512"/>
      <c r="K1" s="51"/>
      <c r="L1" s="51"/>
      <c r="M1" s="51"/>
      <c r="N1" s="51"/>
      <c r="O1" s="51"/>
      <c r="P1"/>
      <c r="Q1"/>
      <c r="R1"/>
      <c r="S1"/>
      <c r="T1"/>
    </row>
    <row r="2" spans="1:20" ht="20.100000000000001" customHeight="1">
      <c r="A2" s="52" t="s">
        <v>39</v>
      </c>
      <c r="B2" s="53" t="s">
        <v>40</v>
      </c>
      <c r="C2" s="53" t="s">
        <v>41</v>
      </c>
      <c r="D2" s="53" t="s">
        <v>42</v>
      </c>
      <c r="E2" s="54" t="s">
        <v>43</v>
      </c>
      <c r="F2" s="55" t="s">
        <v>44</v>
      </c>
      <c r="G2" s="56" t="s">
        <v>45</v>
      </c>
      <c r="H2" s="56" t="s">
        <v>46</v>
      </c>
      <c r="I2" s="56" t="s">
        <v>47</v>
      </c>
      <c r="J2" s="57" t="s">
        <v>48</v>
      </c>
      <c r="K2" s="58" t="s">
        <v>49</v>
      </c>
      <c r="L2" s="59" t="s">
        <v>50</v>
      </c>
      <c r="M2" s="60" t="s">
        <v>51</v>
      </c>
      <c r="N2" s="61" t="s">
        <v>52</v>
      </c>
      <c r="O2" s="62" t="s">
        <v>53</v>
      </c>
      <c r="P2"/>
      <c r="Q2"/>
      <c r="R2"/>
      <c r="S2"/>
      <c r="T2"/>
    </row>
    <row r="3" spans="1:20" ht="21" customHeight="1">
      <c r="A3" s="33">
        <v>1</v>
      </c>
      <c r="B3" s="63" t="s">
        <v>54</v>
      </c>
      <c r="C3" s="64" t="s">
        <v>55</v>
      </c>
      <c r="D3" s="63" t="s">
        <v>56</v>
      </c>
      <c r="E3" s="65">
        <v>123</v>
      </c>
      <c r="F3" s="66" t="s">
        <v>57</v>
      </c>
      <c r="G3" s="67" t="s">
        <v>58</v>
      </c>
      <c r="H3" s="68" t="s">
        <v>59</v>
      </c>
      <c r="I3" s="68" t="s">
        <v>60</v>
      </c>
      <c r="J3" s="69" t="s">
        <v>61</v>
      </c>
      <c r="K3" s="70"/>
      <c r="L3" s="71" t="s">
        <v>62</v>
      </c>
      <c r="M3" s="72" t="s">
        <v>63</v>
      </c>
      <c r="N3" s="73"/>
      <c r="O3" s="74"/>
      <c r="P3"/>
      <c r="Q3"/>
      <c r="R3"/>
      <c r="S3"/>
      <c r="T3"/>
    </row>
    <row r="4" spans="1:20" ht="21" customHeight="1">
      <c r="A4" s="33">
        <v>2</v>
      </c>
      <c r="B4" s="63" t="s">
        <v>64</v>
      </c>
      <c r="C4" s="64" t="s">
        <v>65</v>
      </c>
      <c r="D4" s="63" t="s">
        <v>56</v>
      </c>
      <c r="E4" s="65">
        <v>156</v>
      </c>
      <c r="F4" s="66" t="s">
        <v>66</v>
      </c>
      <c r="G4" s="75" t="s">
        <v>67</v>
      </c>
      <c r="H4" s="68" t="s">
        <v>68</v>
      </c>
      <c r="I4" s="68" t="s">
        <v>69</v>
      </c>
      <c r="J4" s="69"/>
      <c r="K4" s="70"/>
      <c r="L4" s="76"/>
      <c r="M4" s="74"/>
      <c r="N4" s="73"/>
      <c r="O4" s="74"/>
      <c r="P4"/>
      <c r="Q4"/>
      <c r="R4"/>
      <c r="S4"/>
      <c r="T4"/>
    </row>
    <row r="5" spans="1:20" ht="21" customHeight="1">
      <c r="A5" s="33">
        <v>3</v>
      </c>
      <c r="B5" s="63" t="s">
        <v>54</v>
      </c>
      <c r="C5" s="64" t="s">
        <v>70</v>
      </c>
      <c r="D5" s="63" t="s">
        <v>56</v>
      </c>
      <c r="E5" s="65">
        <v>154</v>
      </c>
      <c r="F5" s="66" t="s">
        <v>71</v>
      </c>
      <c r="G5" s="75" t="s">
        <v>67</v>
      </c>
      <c r="H5" s="68" t="s">
        <v>69</v>
      </c>
      <c r="I5" s="68" t="s">
        <v>72</v>
      </c>
      <c r="J5" s="69"/>
      <c r="K5" s="70"/>
      <c r="L5" s="76"/>
      <c r="M5" s="74"/>
      <c r="N5" s="73" t="s">
        <v>73</v>
      </c>
      <c r="O5" s="74"/>
      <c r="P5"/>
      <c r="Q5"/>
      <c r="R5"/>
      <c r="S5"/>
      <c r="T5"/>
    </row>
    <row r="6" spans="1:20" ht="21" customHeight="1">
      <c r="A6" s="33">
        <v>4</v>
      </c>
      <c r="B6" s="63" t="s">
        <v>54</v>
      </c>
      <c r="C6" s="64" t="s">
        <v>74</v>
      </c>
      <c r="D6" s="63" t="s">
        <v>56</v>
      </c>
      <c r="E6" s="65">
        <v>150</v>
      </c>
      <c r="F6" s="66" t="s">
        <v>71</v>
      </c>
      <c r="G6" s="77" t="s">
        <v>60</v>
      </c>
      <c r="H6" s="78" t="s">
        <v>75</v>
      </c>
      <c r="I6" s="68" t="s">
        <v>69</v>
      </c>
      <c r="J6" s="69"/>
      <c r="K6" s="70"/>
      <c r="L6" s="76"/>
      <c r="M6" s="74"/>
      <c r="N6" s="73"/>
      <c r="O6" s="74"/>
      <c r="P6"/>
      <c r="Q6"/>
      <c r="R6"/>
      <c r="S6"/>
      <c r="T6"/>
    </row>
    <row r="7" spans="1:20" ht="21" customHeight="1">
      <c r="A7" s="33">
        <v>5</v>
      </c>
      <c r="B7" s="63" t="s">
        <v>54</v>
      </c>
      <c r="C7" s="64" t="s">
        <v>76</v>
      </c>
      <c r="D7" s="63" t="s">
        <v>77</v>
      </c>
      <c r="E7" s="79">
        <v>266</v>
      </c>
      <c r="F7" s="66" t="s">
        <v>78</v>
      </c>
      <c r="G7" s="67" t="s">
        <v>79</v>
      </c>
      <c r="H7" s="68" t="s">
        <v>69</v>
      </c>
      <c r="I7" s="68" t="s">
        <v>72</v>
      </c>
      <c r="J7" s="69"/>
      <c r="K7" s="70"/>
      <c r="L7" s="80" t="s">
        <v>80</v>
      </c>
      <c r="M7" s="72" t="s">
        <v>81</v>
      </c>
      <c r="N7" s="73"/>
      <c r="O7" s="74"/>
      <c r="P7"/>
      <c r="Q7"/>
      <c r="R7"/>
      <c r="S7"/>
      <c r="T7"/>
    </row>
    <row r="8" spans="1:20" ht="21" customHeight="1">
      <c r="A8" s="33">
        <v>6</v>
      </c>
      <c r="B8" s="63" t="s">
        <v>54</v>
      </c>
      <c r="C8" s="64" t="s">
        <v>82</v>
      </c>
      <c r="D8" s="63" t="s">
        <v>56</v>
      </c>
      <c r="E8" s="65">
        <v>121</v>
      </c>
      <c r="F8" s="66" t="s">
        <v>83</v>
      </c>
      <c r="G8" s="68" t="s">
        <v>61</v>
      </c>
      <c r="H8" s="68" t="s">
        <v>69</v>
      </c>
      <c r="I8" s="75">
        <v>130</v>
      </c>
      <c r="J8" s="69"/>
      <c r="K8" s="70"/>
      <c r="L8" s="76"/>
      <c r="M8" s="74"/>
      <c r="N8" s="73"/>
      <c r="O8" s="74"/>
      <c r="P8"/>
      <c r="Q8"/>
      <c r="R8"/>
      <c r="S8"/>
      <c r="T8"/>
    </row>
    <row r="9" spans="1:20" ht="21" customHeight="1">
      <c r="A9" s="33">
        <v>7</v>
      </c>
      <c r="B9" s="63" t="s">
        <v>54</v>
      </c>
      <c r="C9" s="64" t="s">
        <v>84</v>
      </c>
      <c r="D9" s="63" t="s">
        <v>56</v>
      </c>
      <c r="E9" s="65">
        <v>102</v>
      </c>
      <c r="F9" s="81" t="s">
        <v>85</v>
      </c>
      <c r="G9" s="33" t="s">
        <v>86</v>
      </c>
      <c r="H9" s="75">
        <v>97</v>
      </c>
      <c r="I9" s="33" t="s">
        <v>87</v>
      </c>
      <c r="J9" s="69"/>
      <c r="K9" s="82" t="s">
        <v>88</v>
      </c>
      <c r="L9" s="76"/>
      <c r="M9" s="74"/>
      <c r="N9" s="73"/>
      <c r="O9" s="74"/>
      <c r="P9"/>
      <c r="Q9"/>
      <c r="R9"/>
      <c r="S9"/>
      <c r="T9"/>
    </row>
    <row r="10" spans="1:20" ht="21" customHeight="1">
      <c r="A10" s="33">
        <v>8</v>
      </c>
      <c r="B10" s="63" t="s">
        <v>64</v>
      </c>
      <c r="C10" s="64" t="s">
        <v>89</v>
      </c>
      <c r="D10" s="63" t="s">
        <v>56</v>
      </c>
      <c r="E10" s="65">
        <v>155</v>
      </c>
      <c r="F10" s="81" t="s">
        <v>90</v>
      </c>
      <c r="G10" s="83" t="s">
        <v>85</v>
      </c>
      <c r="H10" s="78" t="s">
        <v>75</v>
      </c>
      <c r="I10" s="75">
        <v>160</v>
      </c>
      <c r="J10" s="69"/>
      <c r="K10" s="70"/>
      <c r="L10" s="76"/>
      <c r="M10" s="74"/>
      <c r="N10" s="73"/>
      <c r="O10" s="74"/>
      <c r="P10"/>
      <c r="Q10"/>
      <c r="R10"/>
      <c r="S10"/>
      <c r="T10"/>
    </row>
    <row r="11" spans="1:20" ht="21" customHeight="1">
      <c r="A11" s="33">
        <v>9</v>
      </c>
      <c r="B11" s="63" t="s">
        <v>54</v>
      </c>
      <c r="C11" s="64" t="s">
        <v>91</v>
      </c>
      <c r="D11" s="63" t="s">
        <v>77</v>
      </c>
      <c r="E11" s="65">
        <v>158</v>
      </c>
      <c r="F11" s="84" t="s">
        <v>92</v>
      </c>
      <c r="G11" s="33" t="s">
        <v>93</v>
      </c>
      <c r="H11" s="83" t="s">
        <v>59</v>
      </c>
      <c r="I11" s="78" t="s">
        <v>75</v>
      </c>
      <c r="J11" s="69"/>
      <c r="K11" s="70"/>
      <c r="L11" s="76"/>
      <c r="M11" s="74"/>
      <c r="N11" s="73"/>
      <c r="O11" s="74"/>
      <c r="P11"/>
      <c r="Q11"/>
      <c r="R11"/>
      <c r="S11"/>
      <c r="T11"/>
    </row>
    <row r="12" spans="1:20" ht="21" customHeight="1" thickBot="1">
      <c r="A12" s="85">
        <v>10</v>
      </c>
      <c r="B12" s="63" t="s">
        <v>54</v>
      </c>
      <c r="C12" s="64" t="s">
        <v>94</v>
      </c>
      <c r="D12" s="63" t="s">
        <v>56</v>
      </c>
      <c r="E12" s="79">
        <v>284</v>
      </c>
      <c r="F12" s="84" t="s">
        <v>75</v>
      </c>
      <c r="G12" s="75" t="s">
        <v>95</v>
      </c>
      <c r="H12" s="75">
        <v>300</v>
      </c>
      <c r="I12" s="68" t="s">
        <v>69</v>
      </c>
      <c r="J12" s="69"/>
      <c r="K12" s="70"/>
      <c r="L12" s="76"/>
      <c r="M12" s="74"/>
      <c r="N12" s="73"/>
      <c r="O12" s="74"/>
      <c r="P12"/>
      <c r="Q12"/>
      <c r="R12"/>
      <c r="S12"/>
      <c r="T12"/>
    </row>
    <row r="13" spans="1:20" ht="21" customHeight="1">
      <c r="A13" s="86">
        <v>11</v>
      </c>
      <c r="B13" s="87" t="s">
        <v>96</v>
      </c>
      <c r="C13" s="88" t="s">
        <v>97</v>
      </c>
      <c r="D13" s="87" t="s">
        <v>56</v>
      </c>
      <c r="E13" s="89">
        <v>116</v>
      </c>
      <c r="F13" s="90" t="s">
        <v>93</v>
      </c>
      <c r="G13" s="86" t="s">
        <v>98</v>
      </c>
      <c r="H13" s="91" t="s">
        <v>75</v>
      </c>
      <c r="I13" s="86" t="s">
        <v>99</v>
      </c>
      <c r="J13" s="92" t="s">
        <v>61</v>
      </c>
      <c r="K13" s="93"/>
      <c r="L13" s="94"/>
      <c r="M13" s="95"/>
      <c r="N13" s="96"/>
      <c r="O13" s="95"/>
      <c r="P13"/>
      <c r="Q13"/>
      <c r="R13"/>
      <c r="S13"/>
      <c r="T13"/>
    </row>
    <row r="14" spans="1:20" ht="21" customHeight="1">
      <c r="A14" s="33">
        <v>12</v>
      </c>
      <c r="B14" s="63" t="s">
        <v>96</v>
      </c>
      <c r="C14" s="64" t="s">
        <v>100</v>
      </c>
      <c r="D14" s="63" t="s">
        <v>56</v>
      </c>
      <c r="E14" s="65">
        <v>101</v>
      </c>
      <c r="F14" s="84" t="s">
        <v>75</v>
      </c>
      <c r="G14" s="33" t="s">
        <v>101</v>
      </c>
      <c r="H14" s="78" t="s">
        <v>75</v>
      </c>
      <c r="I14" s="33" t="s">
        <v>98</v>
      </c>
      <c r="J14" s="69"/>
      <c r="K14" s="70"/>
      <c r="L14" s="76"/>
      <c r="M14" s="74"/>
      <c r="N14" s="73"/>
      <c r="O14" s="74"/>
      <c r="P14"/>
      <c r="Q14"/>
      <c r="R14"/>
      <c r="S14"/>
      <c r="T14"/>
    </row>
    <row r="15" spans="1:20" ht="21" customHeight="1">
      <c r="A15" s="33">
        <v>13</v>
      </c>
      <c r="B15" s="63" t="s">
        <v>96</v>
      </c>
      <c r="C15" s="64" t="s">
        <v>102</v>
      </c>
      <c r="D15" s="63" t="s">
        <v>56</v>
      </c>
      <c r="E15" s="65">
        <v>137</v>
      </c>
      <c r="F15" s="66" t="s">
        <v>103</v>
      </c>
      <c r="G15" s="68" t="s">
        <v>104</v>
      </c>
      <c r="H15" s="75">
        <v>153</v>
      </c>
      <c r="I15" s="68" t="s">
        <v>69</v>
      </c>
      <c r="J15" s="69" t="s">
        <v>105</v>
      </c>
      <c r="K15" s="70"/>
      <c r="L15" s="76"/>
      <c r="M15" s="74"/>
      <c r="N15" s="73"/>
      <c r="O15" s="74"/>
      <c r="P15"/>
      <c r="Q15"/>
      <c r="R15"/>
      <c r="S15"/>
      <c r="T15"/>
    </row>
    <row r="16" spans="1:20" ht="21" customHeight="1">
      <c r="A16" s="33">
        <v>14</v>
      </c>
      <c r="B16" s="63" t="s">
        <v>96</v>
      </c>
      <c r="C16" s="64" t="s">
        <v>106</v>
      </c>
      <c r="D16" s="63" t="s">
        <v>56</v>
      </c>
      <c r="E16" s="65">
        <v>159</v>
      </c>
      <c r="F16" s="66" t="s">
        <v>107</v>
      </c>
      <c r="G16" s="68" t="s">
        <v>61</v>
      </c>
      <c r="H16" s="68" t="s">
        <v>103</v>
      </c>
      <c r="I16" s="75">
        <v>125</v>
      </c>
      <c r="J16" s="69"/>
      <c r="K16" s="70"/>
      <c r="L16" s="76"/>
      <c r="M16" s="74"/>
      <c r="N16" s="73"/>
      <c r="O16" s="74"/>
      <c r="P16"/>
      <c r="Q16"/>
      <c r="R16"/>
      <c r="S16"/>
      <c r="T16"/>
    </row>
    <row r="17" spans="1:20" ht="21" customHeight="1">
      <c r="A17" s="33">
        <v>15</v>
      </c>
      <c r="B17" s="63" t="s">
        <v>96</v>
      </c>
      <c r="C17" s="64" t="s">
        <v>108</v>
      </c>
      <c r="D17" s="63" t="s">
        <v>77</v>
      </c>
      <c r="E17" s="65">
        <v>215</v>
      </c>
      <c r="F17" s="81" t="s">
        <v>109</v>
      </c>
      <c r="G17" s="33" t="s">
        <v>101</v>
      </c>
      <c r="H17" s="78" t="s">
        <v>110</v>
      </c>
      <c r="I17" s="78" t="s">
        <v>75</v>
      </c>
      <c r="J17" s="69"/>
      <c r="K17" s="70"/>
      <c r="L17" s="76"/>
      <c r="M17" s="74"/>
      <c r="N17" s="73"/>
      <c r="O17" s="74"/>
      <c r="P17"/>
      <c r="Q17"/>
      <c r="R17"/>
      <c r="S17"/>
      <c r="T17"/>
    </row>
    <row r="18" spans="1:20" ht="21" customHeight="1">
      <c r="A18" s="33">
        <v>16</v>
      </c>
      <c r="B18" s="63" t="s">
        <v>96</v>
      </c>
      <c r="C18" s="64" t="s">
        <v>111</v>
      </c>
      <c r="D18" s="63" t="s">
        <v>56</v>
      </c>
      <c r="E18" s="65">
        <v>146</v>
      </c>
      <c r="F18" s="81" t="s">
        <v>98</v>
      </c>
      <c r="G18" s="33" t="s">
        <v>101</v>
      </c>
      <c r="H18" s="97" t="s">
        <v>112</v>
      </c>
      <c r="I18" s="33" t="s">
        <v>113</v>
      </c>
      <c r="J18" s="69"/>
      <c r="K18" s="70"/>
      <c r="L18" s="76"/>
      <c r="M18" s="74"/>
      <c r="N18" s="73"/>
      <c r="O18" s="74"/>
      <c r="P18"/>
      <c r="Q18"/>
      <c r="R18"/>
      <c r="S18"/>
      <c r="T18"/>
    </row>
    <row r="19" spans="1:20" ht="21" customHeight="1">
      <c r="A19" s="33">
        <v>17</v>
      </c>
      <c r="B19" s="63" t="s">
        <v>96</v>
      </c>
      <c r="C19" s="64" t="s">
        <v>114</v>
      </c>
      <c r="D19" s="63" t="s">
        <v>56</v>
      </c>
      <c r="E19" s="65">
        <v>152</v>
      </c>
      <c r="F19" s="66" t="s">
        <v>57</v>
      </c>
      <c r="G19" s="67" t="s">
        <v>115</v>
      </c>
      <c r="H19" s="68" t="s">
        <v>61</v>
      </c>
      <c r="I19" s="68" t="s">
        <v>72</v>
      </c>
      <c r="J19" s="69" t="s">
        <v>61</v>
      </c>
      <c r="K19" s="70"/>
      <c r="L19" s="98" t="s">
        <v>116</v>
      </c>
      <c r="M19" s="72" t="s">
        <v>117</v>
      </c>
      <c r="N19" s="73"/>
      <c r="O19" s="74"/>
      <c r="P19"/>
      <c r="Q19"/>
      <c r="R19"/>
      <c r="S19"/>
      <c r="T19"/>
    </row>
    <row r="20" spans="1:20" ht="21" customHeight="1">
      <c r="A20" s="33">
        <v>18</v>
      </c>
      <c r="B20" s="63" t="s">
        <v>96</v>
      </c>
      <c r="C20" s="64" t="s">
        <v>118</v>
      </c>
      <c r="D20" s="63" t="s">
        <v>56</v>
      </c>
      <c r="E20" s="65">
        <v>190</v>
      </c>
      <c r="F20" s="81" t="s">
        <v>119</v>
      </c>
      <c r="G20" s="33" t="s">
        <v>120</v>
      </c>
      <c r="H20" s="75">
        <v>199</v>
      </c>
      <c r="I20" s="68" t="s">
        <v>122</v>
      </c>
      <c r="J20" s="69" t="s">
        <v>123</v>
      </c>
      <c r="K20" s="70"/>
      <c r="L20" s="76"/>
      <c r="M20" s="74"/>
      <c r="N20" s="73" t="s">
        <v>124</v>
      </c>
      <c r="O20" s="74" t="s">
        <v>125</v>
      </c>
      <c r="P20"/>
      <c r="Q20"/>
      <c r="R20"/>
      <c r="S20"/>
      <c r="T20"/>
    </row>
    <row r="21" spans="1:20" ht="21" customHeight="1">
      <c r="A21" s="33">
        <v>19</v>
      </c>
      <c r="B21" s="63" t="s">
        <v>96</v>
      </c>
      <c r="C21" s="64" t="s">
        <v>126</v>
      </c>
      <c r="D21" s="63" t="s">
        <v>56</v>
      </c>
      <c r="E21" s="65">
        <v>162</v>
      </c>
      <c r="F21" s="81" t="s">
        <v>90</v>
      </c>
      <c r="G21" s="33" t="s">
        <v>127</v>
      </c>
      <c r="H21" s="97" t="s">
        <v>128</v>
      </c>
      <c r="I21" s="33" t="s">
        <v>99</v>
      </c>
      <c r="J21" s="69"/>
      <c r="K21" s="70"/>
      <c r="L21" s="76"/>
      <c r="M21" s="74"/>
      <c r="N21" s="73" t="s">
        <v>129</v>
      </c>
      <c r="O21" s="74"/>
      <c r="P21"/>
      <c r="Q21"/>
      <c r="R21"/>
      <c r="S21"/>
      <c r="T21"/>
    </row>
    <row r="22" spans="1:20" ht="21" customHeight="1">
      <c r="A22" s="33">
        <v>20</v>
      </c>
      <c r="B22" s="63" t="s">
        <v>96</v>
      </c>
      <c r="C22" s="64" t="s">
        <v>130</v>
      </c>
      <c r="D22" s="63" t="s">
        <v>56</v>
      </c>
      <c r="E22" s="65">
        <v>210</v>
      </c>
      <c r="F22" s="99" t="s">
        <v>131</v>
      </c>
      <c r="G22" s="68" t="s">
        <v>93</v>
      </c>
      <c r="H22" s="68" t="s">
        <v>69</v>
      </c>
      <c r="I22" s="68" t="s">
        <v>69</v>
      </c>
      <c r="J22" s="69" t="s">
        <v>61</v>
      </c>
      <c r="K22" s="70"/>
      <c r="L22" s="76"/>
      <c r="M22" s="74"/>
      <c r="N22" s="73"/>
      <c r="O22" s="74"/>
      <c r="P22"/>
      <c r="Q22"/>
      <c r="R22"/>
      <c r="S22"/>
      <c r="T22"/>
    </row>
    <row r="23" spans="1:20" ht="21" customHeight="1" thickBot="1">
      <c r="A23" s="85">
        <v>21</v>
      </c>
      <c r="B23" s="100" t="s">
        <v>132</v>
      </c>
      <c r="C23" s="101" t="s">
        <v>133</v>
      </c>
      <c r="D23" s="100" t="s">
        <v>56</v>
      </c>
      <c r="E23" s="102">
        <v>93</v>
      </c>
      <c r="F23" s="103" t="s">
        <v>127</v>
      </c>
      <c r="G23" s="104" t="s">
        <v>101</v>
      </c>
      <c r="H23" s="105">
        <v>111</v>
      </c>
      <c r="I23" s="104" t="s">
        <v>103</v>
      </c>
      <c r="J23" s="106" t="s">
        <v>61</v>
      </c>
      <c r="K23" s="107"/>
      <c r="L23" s="108"/>
      <c r="M23" s="109"/>
      <c r="N23" s="110"/>
      <c r="O23" s="109"/>
      <c r="P23"/>
      <c r="Q23"/>
      <c r="R23"/>
      <c r="S23"/>
      <c r="T23"/>
    </row>
    <row r="24" spans="1:20" ht="21" customHeight="1">
      <c r="A24" s="86">
        <v>22</v>
      </c>
      <c r="B24" s="111" t="s">
        <v>135</v>
      </c>
      <c r="C24" s="112" t="s">
        <v>136</v>
      </c>
      <c r="D24" s="111" t="s">
        <v>56</v>
      </c>
      <c r="E24" s="113">
        <v>127</v>
      </c>
      <c r="F24" s="114" t="s">
        <v>71</v>
      </c>
      <c r="G24" s="115" t="s">
        <v>137</v>
      </c>
      <c r="H24" s="116">
        <v>101</v>
      </c>
      <c r="I24" s="115" t="s">
        <v>69</v>
      </c>
      <c r="J24" s="117"/>
      <c r="K24" s="118"/>
      <c r="L24" s="119"/>
      <c r="M24" s="120"/>
      <c r="N24" s="121"/>
      <c r="O24" s="120"/>
      <c r="P24"/>
      <c r="Q24"/>
      <c r="R24"/>
      <c r="S24"/>
      <c r="T24"/>
    </row>
    <row r="25" spans="1:20" ht="21" customHeight="1">
      <c r="A25" s="33">
        <v>23</v>
      </c>
      <c r="B25" s="63" t="s">
        <v>135</v>
      </c>
      <c r="C25" s="64" t="s">
        <v>138</v>
      </c>
      <c r="D25" s="63" t="s">
        <v>56</v>
      </c>
      <c r="E25" s="79">
        <v>351</v>
      </c>
      <c r="F25" s="81" t="s">
        <v>109</v>
      </c>
      <c r="G25" s="33" t="s">
        <v>101</v>
      </c>
      <c r="H25" s="78" t="s">
        <v>75</v>
      </c>
      <c r="I25" s="33" t="s">
        <v>98</v>
      </c>
      <c r="J25" s="69"/>
      <c r="K25" s="70"/>
      <c r="L25" s="76"/>
      <c r="M25" s="74"/>
      <c r="N25" s="73"/>
      <c r="O25" s="74"/>
      <c r="P25"/>
      <c r="Q25"/>
      <c r="R25"/>
      <c r="S25"/>
      <c r="T25"/>
    </row>
    <row r="26" spans="1:20" ht="21" customHeight="1">
      <c r="A26" s="33">
        <v>24</v>
      </c>
      <c r="B26" s="63" t="s">
        <v>135</v>
      </c>
      <c r="C26" s="64" t="s">
        <v>139</v>
      </c>
      <c r="D26" s="63" t="s">
        <v>77</v>
      </c>
      <c r="E26" s="65">
        <v>94</v>
      </c>
      <c r="F26" s="66" t="s">
        <v>71</v>
      </c>
      <c r="G26" s="68" t="s">
        <v>69</v>
      </c>
      <c r="H26" s="78" t="s">
        <v>75</v>
      </c>
      <c r="I26" s="68" t="s">
        <v>72</v>
      </c>
      <c r="J26" s="122" t="s">
        <v>140</v>
      </c>
      <c r="K26" s="70"/>
      <c r="L26" s="76"/>
      <c r="M26" s="74"/>
      <c r="N26" s="73"/>
      <c r="O26" s="74"/>
      <c r="P26"/>
      <c r="Q26"/>
      <c r="R26"/>
      <c r="S26"/>
      <c r="T26"/>
    </row>
    <row r="27" spans="1:20" ht="21" customHeight="1">
      <c r="A27" s="33">
        <v>25</v>
      </c>
      <c r="B27" s="63" t="s">
        <v>134</v>
      </c>
      <c r="C27" s="64" t="s">
        <v>141</v>
      </c>
      <c r="D27" s="63" t="s">
        <v>56</v>
      </c>
      <c r="E27" s="65">
        <v>96</v>
      </c>
      <c r="F27" s="66" t="s">
        <v>121</v>
      </c>
      <c r="G27" s="75" t="s">
        <v>142</v>
      </c>
      <c r="H27" s="78" t="s">
        <v>75</v>
      </c>
      <c r="I27" s="68" t="s">
        <v>143</v>
      </c>
      <c r="J27" s="69" t="s">
        <v>123</v>
      </c>
      <c r="K27" s="70"/>
      <c r="L27" s="76"/>
      <c r="M27" s="74"/>
      <c r="N27" s="73"/>
      <c r="O27" s="74"/>
      <c r="P27"/>
      <c r="Q27"/>
      <c r="R27"/>
      <c r="S27"/>
      <c r="T27"/>
    </row>
    <row r="28" spans="1:20" ht="21" customHeight="1">
      <c r="A28" s="33">
        <v>26</v>
      </c>
      <c r="B28" s="63" t="s">
        <v>135</v>
      </c>
      <c r="C28" s="64" t="s">
        <v>144</v>
      </c>
      <c r="D28" s="63" t="s">
        <v>56</v>
      </c>
      <c r="E28" s="65">
        <v>118</v>
      </c>
      <c r="F28" s="66" t="s">
        <v>83</v>
      </c>
      <c r="G28" s="68" t="s">
        <v>145</v>
      </c>
      <c r="H28" s="78" t="s">
        <v>75</v>
      </c>
      <c r="I28" s="68" t="s">
        <v>72</v>
      </c>
      <c r="J28" s="69" t="s">
        <v>61</v>
      </c>
      <c r="K28" s="70"/>
      <c r="L28" s="76"/>
      <c r="M28" s="74"/>
      <c r="N28" s="73"/>
      <c r="O28" s="74"/>
      <c r="P28"/>
      <c r="Q28"/>
      <c r="R28"/>
      <c r="S28"/>
      <c r="T28"/>
    </row>
    <row r="29" spans="1:20" ht="21" customHeight="1">
      <c r="A29" s="33">
        <v>27</v>
      </c>
      <c r="B29" s="63" t="s">
        <v>135</v>
      </c>
      <c r="C29" s="64" t="s">
        <v>146</v>
      </c>
      <c r="D29" s="63" t="s">
        <v>56</v>
      </c>
      <c r="E29" s="65">
        <v>124</v>
      </c>
      <c r="F29" s="84" t="s">
        <v>75</v>
      </c>
      <c r="G29" s="68" t="s">
        <v>137</v>
      </c>
      <c r="H29" s="78" t="s">
        <v>75</v>
      </c>
      <c r="I29" s="75">
        <v>132</v>
      </c>
      <c r="J29" s="69"/>
      <c r="K29" s="70"/>
      <c r="L29" s="76"/>
      <c r="M29" s="74"/>
      <c r="N29" s="73"/>
      <c r="O29" s="74"/>
      <c r="P29"/>
      <c r="Q29"/>
      <c r="R29"/>
      <c r="S29"/>
      <c r="T29"/>
    </row>
    <row r="30" spans="1:20" ht="21" customHeight="1">
      <c r="A30" s="85">
        <v>28</v>
      </c>
      <c r="B30" s="123" t="s">
        <v>135</v>
      </c>
      <c r="C30" s="124" t="s">
        <v>147</v>
      </c>
      <c r="D30" s="123" t="s">
        <v>77</v>
      </c>
      <c r="E30" s="125">
        <v>119</v>
      </c>
      <c r="F30" s="126" t="s">
        <v>119</v>
      </c>
      <c r="G30" s="85" t="s">
        <v>123</v>
      </c>
      <c r="H30" s="85" t="s">
        <v>148</v>
      </c>
      <c r="I30" s="85" t="s">
        <v>99</v>
      </c>
      <c r="J30" s="127" t="s">
        <v>61</v>
      </c>
      <c r="K30" s="128"/>
      <c r="L30" s="129"/>
      <c r="M30" s="130"/>
      <c r="N30" s="131"/>
      <c r="O30" s="130"/>
      <c r="P30"/>
      <c r="Q30"/>
      <c r="R30"/>
      <c r="S30"/>
      <c r="T30"/>
    </row>
    <row r="31" spans="1:20" ht="21" customHeight="1">
      <c r="A31" s="33"/>
      <c r="B31" s="63"/>
      <c r="C31" s="132" t="s">
        <v>149</v>
      </c>
      <c r="D31" s="133"/>
      <c r="E31" s="134"/>
      <c r="F31" s="135">
        <v>4</v>
      </c>
      <c r="G31" s="135"/>
      <c r="H31" s="135">
        <v>10</v>
      </c>
      <c r="I31" s="135">
        <v>2</v>
      </c>
      <c r="J31" s="136"/>
      <c r="K31" s="74"/>
      <c r="L31" s="76"/>
      <c r="M31" s="74"/>
      <c r="N31" s="73"/>
      <c r="O31" s="74"/>
      <c r="P31"/>
      <c r="Q31"/>
      <c r="R31"/>
      <c r="S31"/>
      <c r="T31"/>
    </row>
    <row r="32" spans="1:20" ht="21" customHeight="1" thickBot="1">
      <c r="A32" s="137"/>
      <c r="B32" s="100"/>
      <c r="C32" s="138" t="s">
        <v>150</v>
      </c>
      <c r="D32" s="139"/>
      <c r="E32" s="140"/>
      <c r="F32" s="141">
        <v>1</v>
      </c>
      <c r="G32" s="141">
        <v>7</v>
      </c>
      <c r="H32" s="141">
        <v>7</v>
      </c>
      <c r="I32" s="141">
        <v>4</v>
      </c>
      <c r="J32" s="142"/>
      <c r="K32" s="109"/>
      <c r="L32" s="108"/>
      <c r="M32" s="109"/>
      <c r="N32" s="110"/>
      <c r="O32" s="109"/>
      <c r="P32"/>
      <c r="Q32"/>
      <c r="R32"/>
      <c r="S32"/>
      <c r="T32"/>
    </row>
    <row r="33" spans="1:20" ht="21" customHeight="1">
      <c r="A33" s="86">
        <v>29</v>
      </c>
      <c r="B33" s="87" t="s">
        <v>151</v>
      </c>
      <c r="C33" s="88" t="s">
        <v>152</v>
      </c>
      <c r="D33" s="87" t="s">
        <v>77</v>
      </c>
      <c r="E33" s="89">
        <v>73</v>
      </c>
      <c r="F33" s="143" t="s">
        <v>153</v>
      </c>
      <c r="G33" s="144" t="s">
        <v>154</v>
      </c>
      <c r="H33" s="145" t="s">
        <v>155</v>
      </c>
      <c r="I33" s="145" t="s">
        <v>69</v>
      </c>
      <c r="J33" s="146" t="s">
        <v>61</v>
      </c>
      <c r="K33" s="93"/>
      <c r="L33" s="147"/>
      <c r="M33" s="95"/>
      <c r="N33" s="95"/>
      <c r="O33" s="95"/>
      <c r="P33"/>
      <c r="Q33"/>
      <c r="R33"/>
      <c r="S33"/>
      <c r="T33"/>
    </row>
    <row r="34" spans="1:20" ht="21" customHeight="1">
      <c r="A34" s="33">
        <v>30</v>
      </c>
      <c r="B34" s="63" t="s">
        <v>151</v>
      </c>
      <c r="C34" s="64" t="s">
        <v>156</v>
      </c>
      <c r="D34" s="63" t="s">
        <v>56</v>
      </c>
      <c r="E34" s="65">
        <v>396</v>
      </c>
      <c r="F34" s="84" t="s">
        <v>92</v>
      </c>
      <c r="G34" s="148" t="s">
        <v>145</v>
      </c>
      <c r="H34" s="67">
        <v>356</v>
      </c>
      <c r="I34" s="75">
        <v>357</v>
      </c>
      <c r="J34" s="149"/>
      <c r="K34" s="150" t="s">
        <v>157</v>
      </c>
      <c r="L34" s="151" t="s">
        <v>158</v>
      </c>
      <c r="M34" s="74" t="s">
        <v>159</v>
      </c>
      <c r="N34" s="74"/>
      <c r="O34" s="74"/>
      <c r="P34"/>
      <c r="Q34"/>
      <c r="R34"/>
      <c r="S34"/>
      <c r="T34"/>
    </row>
    <row r="35" spans="1:20" s="30" customFormat="1" ht="21" customHeight="1">
      <c r="A35" s="33">
        <v>31</v>
      </c>
      <c r="B35" s="63" t="s">
        <v>151</v>
      </c>
      <c r="C35" s="64" t="s">
        <v>160</v>
      </c>
      <c r="D35" s="63" t="s">
        <v>56</v>
      </c>
      <c r="E35" s="65">
        <v>95</v>
      </c>
      <c r="F35" s="81" t="s">
        <v>98</v>
      </c>
      <c r="G35" s="33" t="s">
        <v>123</v>
      </c>
      <c r="H35" s="152">
        <v>102</v>
      </c>
      <c r="I35" s="148" t="s">
        <v>99</v>
      </c>
      <c r="J35" s="149"/>
      <c r="K35" s="70"/>
      <c r="L35" s="153"/>
      <c r="M35" s="74"/>
      <c r="N35" s="74"/>
      <c r="O35" s="74"/>
    </row>
    <row r="36" spans="1:20" s="30" customFormat="1" ht="21" customHeight="1">
      <c r="A36" s="33">
        <v>32</v>
      </c>
      <c r="B36" s="63" t="s">
        <v>151</v>
      </c>
      <c r="C36" s="64" t="s">
        <v>161</v>
      </c>
      <c r="D36" s="63" t="s">
        <v>56</v>
      </c>
      <c r="E36" s="65">
        <v>135</v>
      </c>
      <c r="F36" s="84" t="s">
        <v>75</v>
      </c>
      <c r="G36" s="152" t="s">
        <v>162</v>
      </c>
      <c r="H36" s="148" t="s">
        <v>163</v>
      </c>
      <c r="I36" s="148" t="s">
        <v>69</v>
      </c>
      <c r="J36" s="149" t="s">
        <v>61</v>
      </c>
      <c r="K36" s="70"/>
      <c r="L36" s="153"/>
      <c r="M36" s="74"/>
      <c r="N36" s="74" t="s">
        <v>164</v>
      </c>
      <c r="O36" s="74"/>
    </row>
    <row r="37" spans="1:20" s="30" customFormat="1" ht="21" customHeight="1">
      <c r="A37" s="33">
        <v>33</v>
      </c>
      <c r="B37" s="63" t="s">
        <v>165</v>
      </c>
      <c r="C37" s="64" t="s">
        <v>166</v>
      </c>
      <c r="D37" s="63" t="s">
        <v>56</v>
      </c>
      <c r="E37" s="65">
        <v>81</v>
      </c>
      <c r="F37" s="84" t="s">
        <v>92</v>
      </c>
      <c r="G37" s="33" t="s">
        <v>127</v>
      </c>
      <c r="H37" s="33" t="s">
        <v>98</v>
      </c>
      <c r="I37" s="33" t="s">
        <v>98</v>
      </c>
      <c r="J37" s="149" t="s">
        <v>145</v>
      </c>
      <c r="K37" s="70"/>
      <c r="L37" s="153"/>
      <c r="M37" s="74"/>
      <c r="N37" s="74"/>
      <c r="O37" s="74"/>
    </row>
    <row r="38" spans="1:20" s="30" customFormat="1" ht="21" customHeight="1">
      <c r="A38" s="33">
        <v>34</v>
      </c>
      <c r="B38" s="63" t="s">
        <v>151</v>
      </c>
      <c r="C38" s="64" t="s">
        <v>167</v>
      </c>
      <c r="D38" s="63" t="s">
        <v>56</v>
      </c>
      <c r="E38" s="65">
        <v>78</v>
      </c>
      <c r="F38" s="81" t="s">
        <v>168</v>
      </c>
      <c r="G38" s="33" t="s">
        <v>93</v>
      </c>
      <c r="H38" s="33" t="s">
        <v>127</v>
      </c>
      <c r="I38" s="33" t="s">
        <v>99</v>
      </c>
      <c r="J38" s="154">
        <v>7</v>
      </c>
      <c r="K38" s="70"/>
      <c r="L38" s="153"/>
      <c r="M38" s="155" t="s">
        <v>169</v>
      </c>
      <c r="N38" s="74" t="s">
        <v>170</v>
      </c>
      <c r="O38" s="74"/>
    </row>
    <row r="39" spans="1:20" s="30" customFormat="1" ht="21" customHeight="1">
      <c r="A39" s="33">
        <v>35</v>
      </c>
      <c r="B39" s="63" t="s">
        <v>151</v>
      </c>
      <c r="C39" s="64" t="s">
        <v>171</v>
      </c>
      <c r="D39" s="63" t="s">
        <v>77</v>
      </c>
      <c r="E39" s="65">
        <v>122</v>
      </c>
      <c r="F39" s="156" t="s">
        <v>93</v>
      </c>
      <c r="G39" s="148" t="s">
        <v>172</v>
      </c>
      <c r="H39" s="148" t="s">
        <v>127</v>
      </c>
      <c r="I39" s="157" t="s">
        <v>173</v>
      </c>
      <c r="J39" s="149"/>
      <c r="K39" s="70"/>
      <c r="L39" s="153"/>
      <c r="M39" s="74"/>
      <c r="N39" s="74"/>
      <c r="O39" s="74"/>
    </row>
    <row r="40" spans="1:20" s="30" customFormat="1" ht="21" customHeight="1">
      <c r="A40" s="33">
        <v>36</v>
      </c>
      <c r="B40" s="63" t="s">
        <v>151</v>
      </c>
      <c r="C40" s="64" t="s">
        <v>174</v>
      </c>
      <c r="D40" s="63" t="s">
        <v>56</v>
      </c>
      <c r="E40" s="65">
        <v>79</v>
      </c>
      <c r="F40" s="84" t="s">
        <v>110</v>
      </c>
      <c r="G40" s="33" t="s">
        <v>93</v>
      </c>
      <c r="H40" s="33" t="s">
        <v>109</v>
      </c>
      <c r="I40" s="33" t="s">
        <v>98</v>
      </c>
      <c r="J40" s="149"/>
      <c r="K40" s="70"/>
      <c r="L40" s="153"/>
      <c r="M40" s="74"/>
      <c r="N40" s="74"/>
      <c r="O40" s="74"/>
    </row>
    <row r="41" spans="1:20" ht="21" customHeight="1" thickBot="1">
      <c r="A41" s="85">
        <v>37</v>
      </c>
      <c r="B41" s="123" t="s">
        <v>151</v>
      </c>
      <c r="C41" s="124" t="s">
        <v>175</v>
      </c>
      <c r="D41" s="123" t="s">
        <v>56</v>
      </c>
      <c r="E41" s="65">
        <v>142</v>
      </c>
      <c r="F41" s="126" t="s">
        <v>176</v>
      </c>
      <c r="G41" s="85" t="s">
        <v>127</v>
      </c>
      <c r="H41" s="157" t="s">
        <v>75</v>
      </c>
      <c r="I41" s="157" t="s">
        <v>75</v>
      </c>
      <c r="J41" s="158"/>
      <c r="K41" s="128"/>
      <c r="L41" s="159"/>
      <c r="M41" s="130"/>
      <c r="N41" s="130"/>
      <c r="O41" s="130"/>
      <c r="P41"/>
      <c r="Q41"/>
      <c r="R41"/>
      <c r="S41"/>
      <c r="T41"/>
    </row>
    <row r="42" spans="1:20" ht="21" customHeight="1">
      <c r="A42" s="86">
        <v>38</v>
      </c>
      <c r="B42" s="87" t="s">
        <v>177</v>
      </c>
      <c r="C42" s="88" t="s">
        <v>178</v>
      </c>
      <c r="D42" s="87" t="s">
        <v>56</v>
      </c>
      <c r="E42" s="65">
        <v>88</v>
      </c>
      <c r="F42" s="160" t="s">
        <v>75</v>
      </c>
      <c r="G42" s="86" t="s">
        <v>179</v>
      </c>
      <c r="H42" s="91" t="s">
        <v>110</v>
      </c>
      <c r="I42" s="86" t="s">
        <v>99</v>
      </c>
      <c r="J42" s="146"/>
      <c r="K42" s="93"/>
      <c r="L42" s="147"/>
      <c r="M42" s="95"/>
      <c r="N42" s="95" t="s">
        <v>180</v>
      </c>
      <c r="O42" s="95"/>
      <c r="P42"/>
      <c r="Q42"/>
      <c r="R42"/>
      <c r="S42"/>
      <c r="T42"/>
    </row>
    <row r="43" spans="1:20" ht="21" customHeight="1">
      <c r="A43" s="33">
        <v>39</v>
      </c>
      <c r="B43" s="63" t="s">
        <v>177</v>
      </c>
      <c r="C43" s="64" t="s">
        <v>181</v>
      </c>
      <c r="D43" s="63" t="s">
        <v>56</v>
      </c>
      <c r="E43" s="65">
        <v>122</v>
      </c>
      <c r="F43" s="81" t="s">
        <v>176</v>
      </c>
      <c r="G43" s="33" t="s">
        <v>85</v>
      </c>
      <c r="H43" s="78" t="s">
        <v>75</v>
      </c>
      <c r="I43" s="33" t="s">
        <v>87</v>
      </c>
      <c r="J43" s="149"/>
      <c r="K43" s="70"/>
      <c r="L43" s="153"/>
      <c r="M43" s="74"/>
      <c r="N43" s="74"/>
      <c r="O43" s="74"/>
      <c r="P43"/>
      <c r="Q43"/>
      <c r="R43"/>
      <c r="S43"/>
      <c r="T43"/>
    </row>
    <row r="44" spans="1:20" ht="21" customHeight="1">
      <c r="A44" s="33">
        <v>40</v>
      </c>
      <c r="B44" s="63" t="s">
        <v>177</v>
      </c>
      <c r="C44" s="64" t="s">
        <v>182</v>
      </c>
      <c r="D44" s="63" t="s">
        <v>56</v>
      </c>
      <c r="E44" s="65">
        <v>85</v>
      </c>
      <c r="F44" s="81" t="s">
        <v>176</v>
      </c>
      <c r="G44" s="33" t="s">
        <v>98</v>
      </c>
      <c r="H44" s="78" t="s">
        <v>75</v>
      </c>
      <c r="I44" s="33" t="s">
        <v>122</v>
      </c>
      <c r="J44" s="149"/>
      <c r="K44" s="70"/>
      <c r="L44" s="153"/>
      <c r="M44" s="74"/>
      <c r="N44" s="74" t="s">
        <v>183</v>
      </c>
      <c r="O44" s="74"/>
      <c r="P44"/>
      <c r="Q44"/>
      <c r="R44"/>
      <c r="S44"/>
      <c r="T44"/>
    </row>
    <row r="45" spans="1:20" ht="21" customHeight="1">
      <c r="A45" s="33">
        <v>41</v>
      </c>
      <c r="B45" s="63" t="s">
        <v>177</v>
      </c>
      <c r="C45" s="64" t="s">
        <v>184</v>
      </c>
      <c r="D45" s="63" t="s">
        <v>56</v>
      </c>
      <c r="E45" s="65">
        <v>133</v>
      </c>
      <c r="F45" s="81" t="s">
        <v>185</v>
      </c>
      <c r="G45" s="33" t="s">
        <v>93</v>
      </c>
      <c r="H45" s="78" t="s">
        <v>75</v>
      </c>
      <c r="I45" s="33" t="s">
        <v>98</v>
      </c>
      <c r="J45" s="149"/>
      <c r="K45" s="70"/>
      <c r="L45" s="153"/>
      <c r="M45" s="74"/>
      <c r="N45" s="74"/>
      <c r="O45" s="74"/>
      <c r="P45"/>
      <c r="Q45"/>
      <c r="R45"/>
      <c r="S45"/>
      <c r="T45"/>
    </row>
    <row r="46" spans="1:20" ht="21" customHeight="1">
      <c r="A46" s="33">
        <v>42</v>
      </c>
      <c r="B46" s="63" t="s">
        <v>177</v>
      </c>
      <c r="C46" s="64" t="s">
        <v>186</v>
      </c>
      <c r="D46" s="63" t="s">
        <v>56</v>
      </c>
      <c r="E46" s="65">
        <v>124</v>
      </c>
      <c r="F46" s="84" t="s">
        <v>75</v>
      </c>
      <c r="G46" s="33" t="s">
        <v>98</v>
      </c>
      <c r="H46" s="33" t="s">
        <v>109</v>
      </c>
      <c r="I46" s="33" t="s">
        <v>99</v>
      </c>
      <c r="J46" s="149"/>
      <c r="K46" s="70"/>
      <c r="L46" s="153"/>
      <c r="M46" s="74"/>
      <c r="N46" s="74"/>
      <c r="O46" s="74"/>
      <c r="P46"/>
      <c r="Q46"/>
      <c r="R46"/>
      <c r="S46"/>
      <c r="T46"/>
    </row>
    <row r="47" spans="1:20" ht="21" customHeight="1">
      <c r="A47" s="33">
        <v>43</v>
      </c>
      <c r="B47" s="63" t="s">
        <v>177</v>
      </c>
      <c r="C47" s="64" t="s">
        <v>187</v>
      </c>
      <c r="D47" s="63" t="s">
        <v>56</v>
      </c>
      <c r="E47" s="65">
        <v>169</v>
      </c>
      <c r="F47" s="81" t="s">
        <v>98</v>
      </c>
      <c r="G47" s="33" t="s">
        <v>188</v>
      </c>
      <c r="H47" s="78" t="s">
        <v>75</v>
      </c>
      <c r="I47" s="33" t="s">
        <v>99</v>
      </c>
      <c r="J47" s="149"/>
      <c r="K47" s="70"/>
      <c r="L47" s="153"/>
      <c r="M47" s="74"/>
      <c r="N47" s="74" t="s">
        <v>189</v>
      </c>
      <c r="O47" s="74"/>
      <c r="P47"/>
      <c r="Q47"/>
      <c r="R47"/>
      <c r="S47"/>
      <c r="T47"/>
    </row>
    <row r="48" spans="1:20" ht="21" customHeight="1">
      <c r="A48" s="33">
        <v>44</v>
      </c>
      <c r="B48" s="63" t="s">
        <v>177</v>
      </c>
      <c r="C48" s="64" t="s">
        <v>190</v>
      </c>
      <c r="D48" s="63" t="s">
        <v>56</v>
      </c>
      <c r="E48" s="65">
        <v>172</v>
      </c>
      <c r="F48" s="84" t="s">
        <v>75</v>
      </c>
      <c r="G48" s="152" t="s">
        <v>191</v>
      </c>
      <c r="H48" s="78" t="s">
        <v>75</v>
      </c>
      <c r="I48" s="148" t="s">
        <v>113</v>
      </c>
      <c r="J48" s="149"/>
      <c r="K48" s="70"/>
      <c r="L48" s="153"/>
      <c r="M48" s="74"/>
      <c r="N48" s="74" t="s">
        <v>192</v>
      </c>
      <c r="O48" s="74"/>
      <c r="P48"/>
      <c r="Q48"/>
      <c r="R48"/>
      <c r="S48"/>
      <c r="T48"/>
    </row>
    <row r="49" spans="1:20" ht="21" customHeight="1">
      <c r="A49" s="33">
        <v>45</v>
      </c>
      <c r="B49" s="63" t="s">
        <v>177</v>
      </c>
      <c r="C49" s="64" t="s">
        <v>193</v>
      </c>
      <c r="D49" s="63" t="s">
        <v>77</v>
      </c>
      <c r="E49" s="65">
        <v>190</v>
      </c>
      <c r="F49" s="84" t="s">
        <v>173</v>
      </c>
      <c r="G49" s="148" t="s">
        <v>194</v>
      </c>
      <c r="H49" s="78" t="s">
        <v>173</v>
      </c>
      <c r="I49" s="78" t="s">
        <v>173</v>
      </c>
      <c r="J49" s="149"/>
      <c r="K49" s="70"/>
      <c r="L49" s="153"/>
      <c r="M49" s="74"/>
      <c r="N49" s="74"/>
      <c r="O49" s="74"/>
      <c r="P49"/>
      <c r="Q49"/>
      <c r="R49"/>
      <c r="S49"/>
      <c r="T49"/>
    </row>
    <row r="50" spans="1:20" ht="21" customHeight="1">
      <c r="A50" s="33">
        <v>46</v>
      </c>
      <c r="B50" s="63" t="s">
        <v>177</v>
      </c>
      <c r="C50" s="64" t="s">
        <v>195</v>
      </c>
      <c r="D50" s="63" t="s">
        <v>56</v>
      </c>
      <c r="E50" s="65">
        <v>207</v>
      </c>
      <c r="F50" s="156" t="s">
        <v>196</v>
      </c>
      <c r="G50" s="67" t="s">
        <v>197</v>
      </c>
      <c r="H50" s="78" t="s">
        <v>75</v>
      </c>
      <c r="I50" s="33" t="s">
        <v>99</v>
      </c>
      <c r="J50" s="149"/>
      <c r="K50" s="150" t="s">
        <v>198</v>
      </c>
      <c r="L50" s="153"/>
      <c r="M50" s="74"/>
      <c r="N50" s="74" t="s">
        <v>199</v>
      </c>
      <c r="O50" s="74"/>
      <c r="P50"/>
      <c r="Q50"/>
      <c r="R50"/>
      <c r="S50"/>
      <c r="T50"/>
    </row>
    <row r="51" spans="1:20" ht="21" customHeight="1">
      <c r="A51" s="85">
        <v>47</v>
      </c>
      <c r="B51" s="123" t="s">
        <v>177</v>
      </c>
      <c r="C51" s="124" t="s">
        <v>200</v>
      </c>
      <c r="D51" s="123" t="s">
        <v>77</v>
      </c>
      <c r="E51" s="125">
        <v>227</v>
      </c>
      <c r="F51" s="161" t="s">
        <v>168</v>
      </c>
      <c r="G51" s="162" t="s">
        <v>145</v>
      </c>
      <c r="H51" s="162" t="s">
        <v>201</v>
      </c>
      <c r="I51" s="157" t="s">
        <v>173</v>
      </c>
      <c r="J51" s="158"/>
      <c r="K51" s="128"/>
      <c r="L51" s="159"/>
      <c r="M51" s="130"/>
      <c r="N51" s="130"/>
      <c r="O51" s="130"/>
      <c r="P51"/>
      <c r="Q51"/>
      <c r="R51"/>
      <c r="S51"/>
      <c r="T51"/>
    </row>
    <row r="52" spans="1:20" ht="21" customHeight="1">
      <c r="A52" s="33"/>
      <c r="B52" s="63"/>
      <c r="C52" s="132" t="s">
        <v>149</v>
      </c>
      <c r="D52" s="133"/>
      <c r="E52" s="134"/>
      <c r="F52" s="163">
        <v>7</v>
      </c>
      <c r="G52" s="163"/>
      <c r="H52" s="163">
        <v>9</v>
      </c>
      <c r="I52" s="163">
        <v>4</v>
      </c>
      <c r="J52" s="163"/>
      <c r="K52" s="74"/>
      <c r="L52" s="153"/>
      <c r="M52" s="74"/>
      <c r="N52" s="74"/>
      <c r="O52" s="74"/>
      <c r="P52"/>
      <c r="Q52"/>
      <c r="R52"/>
      <c r="S52"/>
      <c r="T52"/>
    </row>
    <row r="53" spans="1:20" ht="21" customHeight="1" thickBot="1">
      <c r="A53" s="137"/>
      <c r="B53" s="100"/>
      <c r="C53" s="138" t="s">
        <v>150</v>
      </c>
      <c r="D53" s="139"/>
      <c r="E53" s="140"/>
      <c r="F53" s="164"/>
      <c r="G53" s="164">
        <v>4</v>
      </c>
      <c r="H53" s="164">
        <v>2</v>
      </c>
      <c r="I53" s="164">
        <v>1</v>
      </c>
      <c r="J53" s="164">
        <v>1</v>
      </c>
      <c r="K53" s="109"/>
      <c r="L53" s="165"/>
      <c r="M53" s="109"/>
      <c r="N53" s="109"/>
      <c r="O53" s="109"/>
      <c r="P53"/>
      <c r="Q53"/>
      <c r="R53"/>
      <c r="S53"/>
      <c r="T53"/>
    </row>
    <row r="54" spans="1:20" ht="21" customHeight="1">
      <c r="A54" s="86">
        <v>48</v>
      </c>
      <c r="B54" s="87" t="s">
        <v>202</v>
      </c>
      <c r="C54" s="88" t="s">
        <v>203</v>
      </c>
      <c r="D54" s="87" t="s">
        <v>56</v>
      </c>
      <c r="E54" s="166">
        <v>285</v>
      </c>
      <c r="F54" s="160" t="s">
        <v>75</v>
      </c>
      <c r="G54" s="86" t="s">
        <v>127</v>
      </c>
      <c r="H54" s="91" t="s">
        <v>75</v>
      </c>
      <c r="I54" s="86" t="s">
        <v>98</v>
      </c>
      <c r="J54" s="167"/>
      <c r="K54" s="93"/>
      <c r="L54" s="147"/>
      <c r="M54" s="95"/>
      <c r="N54" s="95"/>
      <c r="O54" s="95"/>
      <c r="P54"/>
      <c r="Q54"/>
      <c r="R54"/>
      <c r="S54"/>
      <c r="T54"/>
    </row>
    <row r="55" spans="1:20" ht="21" customHeight="1">
      <c r="A55" s="33">
        <v>49</v>
      </c>
      <c r="B55" s="63" t="s">
        <v>202</v>
      </c>
      <c r="C55" s="64" t="s">
        <v>204</v>
      </c>
      <c r="D55" s="63" t="s">
        <v>77</v>
      </c>
      <c r="E55" s="65">
        <v>203</v>
      </c>
      <c r="F55" s="84" t="s">
        <v>75</v>
      </c>
      <c r="G55" s="33" t="s">
        <v>93</v>
      </c>
      <c r="H55" s="78" t="s">
        <v>75</v>
      </c>
      <c r="I55" s="33" t="s">
        <v>98</v>
      </c>
      <c r="J55" s="168"/>
      <c r="K55" s="70"/>
      <c r="L55" s="153"/>
      <c r="M55" s="74"/>
      <c r="N55" s="74"/>
      <c r="O55" s="74"/>
      <c r="P55"/>
      <c r="Q55"/>
      <c r="R55"/>
      <c r="S55"/>
      <c r="T55"/>
    </row>
    <row r="56" spans="1:20" ht="21" customHeight="1">
      <c r="A56" s="33">
        <v>50</v>
      </c>
      <c r="B56" s="63" t="s">
        <v>202</v>
      </c>
      <c r="C56" s="64" t="s">
        <v>205</v>
      </c>
      <c r="D56" s="63" t="s">
        <v>56</v>
      </c>
      <c r="E56" s="79">
        <v>290</v>
      </c>
      <c r="F56" s="81" t="s">
        <v>206</v>
      </c>
      <c r="G56" s="33" t="s">
        <v>93</v>
      </c>
      <c r="H56" s="78" t="s">
        <v>75</v>
      </c>
      <c r="I56" s="33" t="s">
        <v>98</v>
      </c>
      <c r="J56" s="168"/>
      <c r="K56" s="70"/>
      <c r="L56" s="153"/>
      <c r="M56" s="74"/>
      <c r="N56" s="74"/>
      <c r="O56" s="74"/>
      <c r="P56"/>
      <c r="Q56"/>
      <c r="R56"/>
      <c r="S56"/>
      <c r="T56"/>
    </row>
    <row r="57" spans="1:20" ht="21" customHeight="1">
      <c r="A57" s="33">
        <v>51</v>
      </c>
      <c r="B57" s="63" t="s">
        <v>202</v>
      </c>
      <c r="C57" s="64" t="s">
        <v>207</v>
      </c>
      <c r="D57" s="63" t="s">
        <v>56</v>
      </c>
      <c r="E57" s="79">
        <v>370</v>
      </c>
      <c r="F57" s="81" t="s">
        <v>122</v>
      </c>
      <c r="G57" s="33" t="s">
        <v>208</v>
      </c>
      <c r="H57" s="78" t="s">
        <v>75</v>
      </c>
      <c r="I57" s="33" t="s">
        <v>98</v>
      </c>
      <c r="J57" s="168"/>
      <c r="K57" s="70"/>
      <c r="L57" s="153"/>
      <c r="M57" s="74"/>
      <c r="N57" s="73"/>
      <c r="O57" s="74"/>
      <c r="P57"/>
      <c r="Q57"/>
      <c r="R57"/>
      <c r="S57"/>
      <c r="T57"/>
    </row>
    <row r="58" spans="1:20" ht="21" customHeight="1">
      <c r="A58" s="33">
        <v>52</v>
      </c>
      <c r="B58" s="63" t="s">
        <v>202</v>
      </c>
      <c r="C58" s="64" t="s">
        <v>209</v>
      </c>
      <c r="D58" s="63" t="s">
        <v>56</v>
      </c>
      <c r="E58" s="65">
        <v>95</v>
      </c>
      <c r="F58" s="81" t="s">
        <v>107</v>
      </c>
      <c r="G58" s="169" t="s">
        <v>210</v>
      </c>
      <c r="H58" s="97" t="s">
        <v>211</v>
      </c>
      <c r="I58" s="33" t="s">
        <v>98</v>
      </c>
      <c r="J58" s="170">
        <v>107</v>
      </c>
      <c r="K58" s="70"/>
      <c r="L58" s="153"/>
      <c r="M58" s="74"/>
      <c r="N58" s="73" t="s">
        <v>212</v>
      </c>
      <c r="O58" s="74"/>
      <c r="P58"/>
      <c r="Q58"/>
      <c r="R58"/>
      <c r="S58"/>
      <c r="T58"/>
    </row>
    <row r="59" spans="1:20" ht="21" customHeight="1">
      <c r="A59" s="33">
        <v>53</v>
      </c>
      <c r="B59" s="63" t="s">
        <v>202</v>
      </c>
      <c r="C59" s="64" t="s">
        <v>213</v>
      </c>
      <c r="D59" s="63" t="s">
        <v>56</v>
      </c>
      <c r="E59" s="65">
        <v>170</v>
      </c>
      <c r="F59" s="81" t="s">
        <v>127</v>
      </c>
      <c r="G59" s="33" t="s">
        <v>93</v>
      </c>
      <c r="H59" s="78" t="s">
        <v>75</v>
      </c>
      <c r="I59" s="33" t="s">
        <v>99</v>
      </c>
      <c r="J59" s="168"/>
      <c r="K59" s="70"/>
      <c r="L59" s="153"/>
      <c r="M59" s="74"/>
      <c r="N59" s="73" t="s">
        <v>214</v>
      </c>
      <c r="O59" s="74"/>
      <c r="P59"/>
      <c r="Q59"/>
      <c r="R59"/>
      <c r="S59"/>
      <c r="T59"/>
    </row>
    <row r="60" spans="1:20" ht="21" customHeight="1">
      <c r="A60" s="33">
        <v>54</v>
      </c>
      <c r="B60" s="63" t="s">
        <v>202</v>
      </c>
      <c r="C60" s="64" t="s">
        <v>215</v>
      </c>
      <c r="D60" s="63" t="s">
        <v>56</v>
      </c>
      <c r="E60" s="65">
        <v>91</v>
      </c>
      <c r="F60" s="81"/>
      <c r="G60" s="171" t="s">
        <v>216</v>
      </c>
      <c r="H60" s="33"/>
      <c r="I60" s="33"/>
      <c r="J60" s="168"/>
      <c r="K60" s="70"/>
      <c r="L60" s="72" t="s">
        <v>217</v>
      </c>
      <c r="M60" s="74"/>
      <c r="N60" s="73"/>
      <c r="O60" s="74"/>
      <c r="P60"/>
      <c r="Q60"/>
      <c r="R60"/>
      <c r="S60"/>
      <c r="T60"/>
    </row>
    <row r="61" spans="1:20" ht="21" customHeight="1">
      <c r="A61" s="33">
        <v>55</v>
      </c>
      <c r="B61" s="63" t="s">
        <v>218</v>
      </c>
      <c r="C61" s="64" t="s">
        <v>219</v>
      </c>
      <c r="D61" s="63" t="s">
        <v>56</v>
      </c>
      <c r="E61" s="65">
        <v>147</v>
      </c>
      <c r="F61" s="81" t="s">
        <v>220</v>
      </c>
      <c r="G61" s="33" t="s">
        <v>208</v>
      </c>
      <c r="H61" s="97" t="s">
        <v>211</v>
      </c>
      <c r="I61" s="33" t="s">
        <v>98</v>
      </c>
      <c r="J61" s="168"/>
      <c r="K61" s="70"/>
      <c r="L61" s="153"/>
      <c r="M61" s="74"/>
      <c r="N61" s="73"/>
      <c r="O61" s="74"/>
      <c r="P61"/>
      <c r="Q61"/>
      <c r="R61"/>
      <c r="S61"/>
      <c r="T61"/>
    </row>
    <row r="62" spans="1:20" ht="21" customHeight="1">
      <c r="A62" s="33">
        <v>56</v>
      </c>
      <c r="B62" s="63" t="s">
        <v>202</v>
      </c>
      <c r="C62" s="64" t="s">
        <v>221</v>
      </c>
      <c r="D62" s="63" t="s">
        <v>56</v>
      </c>
      <c r="E62" s="79">
        <v>314</v>
      </c>
      <c r="F62" s="81" t="s">
        <v>222</v>
      </c>
      <c r="G62" s="33" t="s">
        <v>93</v>
      </c>
      <c r="H62" s="33" t="s">
        <v>223</v>
      </c>
      <c r="I62" s="78" t="s">
        <v>75</v>
      </c>
      <c r="J62" s="168"/>
      <c r="K62" s="70"/>
      <c r="L62" s="153"/>
      <c r="M62" s="74"/>
      <c r="N62" s="73"/>
      <c r="O62" s="74"/>
      <c r="P62"/>
      <c r="Q62"/>
      <c r="R62"/>
      <c r="S62"/>
      <c r="T62"/>
    </row>
    <row r="63" spans="1:20" ht="21" customHeight="1">
      <c r="A63" s="33">
        <v>57</v>
      </c>
      <c r="B63" s="63" t="s">
        <v>202</v>
      </c>
      <c r="C63" s="64" t="s">
        <v>224</v>
      </c>
      <c r="D63" s="63" t="s">
        <v>77</v>
      </c>
      <c r="E63" s="79">
        <v>339</v>
      </c>
      <c r="F63" s="172" t="s">
        <v>112</v>
      </c>
      <c r="G63" s="33" t="s">
        <v>109</v>
      </c>
      <c r="H63" s="33" t="s">
        <v>127</v>
      </c>
      <c r="I63" s="33" t="s">
        <v>98</v>
      </c>
      <c r="J63" s="168" t="s">
        <v>145</v>
      </c>
      <c r="K63" s="70"/>
      <c r="L63" s="153"/>
      <c r="M63" s="74"/>
      <c r="N63" s="73" t="s">
        <v>225</v>
      </c>
      <c r="O63" s="74"/>
      <c r="P63"/>
      <c r="Q63"/>
      <c r="R63"/>
      <c r="S63"/>
      <c r="T63"/>
    </row>
    <row r="64" spans="1:20" ht="21" customHeight="1">
      <c r="A64" s="33">
        <v>58</v>
      </c>
      <c r="B64" s="63" t="s">
        <v>202</v>
      </c>
      <c r="C64" s="64" t="s">
        <v>226</v>
      </c>
      <c r="D64" s="63" t="s">
        <v>77</v>
      </c>
      <c r="E64" s="79">
        <v>335</v>
      </c>
      <c r="F64" s="81" t="s">
        <v>109</v>
      </c>
      <c r="G64" s="33" t="s">
        <v>85</v>
      </c>
      <c r="H64" s="78" t="s">
        <v>75</v>
      </c>
      <c r="I64" s="33" t="s">
        <v>99</v>
      </c>
      <c r="J64" s="168"/>
      <c r="K64" s="70"/>
      <c r="L64" s="153"/>
      <c r="M64" s="74"/>
      <c r="N64" s="73"/>
      <c r="O64" s="74"/>
      <c r="P64"/>
      <c r="Q64"/>
      <c r="R64"/>
      <c r="S64"/>
      <c r="T64"/>
    </row>
    <row r="65" spans="1:20" ht="21" customHeight="1" thickBot="1">
      <c r="A65" s="85">
        <v>59</v>
      </c>
      <c r="B65" s="123" t="s">
        <v>202</v>
      </c>
      <c r="C65" s="124" t="s">
        <v>227</v>
      </c>
      <c r="D65" s="123" t="s">
        <v>77</v>
      </c>
      <c r="E65" s="125">
        <v>272</v>
      </c>
      <c r="F65" s="126" t="s">
        <v>127</v>
      </c>
      <c r="G65" s="85" t="s">
        <v>127</v>
      </c>
      <c r="H65" s="157" t="s">
        <v>75</v>
      </c>
      <c r="I65" s="157" t="s">
        <v>75</v>
      </c>
      <c r="J65" s="173"/>
      <c r="K65" s="128"/>
      <c r="L65" s="159"/>
      <c r="M65" s="130"/>
      <c r="N65" s="131"/>
      <c r="O65" s="130"/>
      <c r="P65"/>
      <c r="Q65"/>
      <c r="R65"/>
      <c r="S65"/>
      <c r="T65"/>
    </row>
    <row r="66" spans="1:20" ht="21" customHeight="1">
      <c r="A66" s="86">
        <v>60</v>
      </c>
      <c r="B66" s="87" t="s">
        <v>228</v>
      </c>
      <c r="C66" s="88" t="s">
        <v>229</v>
      </c>
      <c r="D66" s="87" t="s">
        <v>56</v>
      </c>
      <c r="E66" s="89">
        <v>162</v>
      </c>
      <c r="F66" s="90" t="s">
        <v>109</v>
      </c>
      <c r="G66" s="86" t="s">
        <v>93</v>
      </c>
      <c r="H66" s="174">
        <v>153</v>
      </c>
      <c r="I66" s="86" t="s">
        <v>98</v>
      </c>
      <c r="J66" s="167"/>
      <c r="K66" s="175" t="s">
        <v>230</v>
      </c>
      <c r="L66" s="147"/>
      <c r="M66" s="95"/>
      <c r="N66" s="96"/>
      <c r="O66" s="95"/>
      <c r="P66"/>
      <c r="Q66"/>
      <c r="R66"/>
      <c r="S66"/>
      <c r="T66"/>
    </row>
    <row r="67" spans="1:20" ht="21" customHeight="1">
      <c r="A67" s="33">
        <v>61</v>
      </c>
      <c r="B67" s="63" t="s">
        <v>231</v>
      </c>
      <c r="C67" s="64" t="s">
        <v>232</v>
      </c>
      <c r="D67" s="63" t="s">
        <v>77</v>
      </c>
      <c r="E67" s="65">
        <v>221</v>
      </c>
      <c r="F67" s="81" t="s">
        <v>90</v>
      </c>
      <c r="G67" s="63" t="s">
        <v>233</v>
      </c>
      <c r="H67" s="33" t="s">
        <v>69</v>
      </c>
      <c r="I67" s="169">
        <v>189</v>
      </c>
      <c r="J67" s="168"/>
      <c r="K67" s="70"/>
      <c r="L67" s="153" t="s">
        <v>234</v>
      </c>
      <c r="M67" s="74"/>
      <c r="N67" s="73"/>
      <c r="O67" s="74"/>
      <c r="P67"/>
      <c r="Q67"/>
      <c r="R67"/>
      <c r="S67"/>
      <c r="T67"/>
    </row>
    <row r="68" spans="1:20" ht="21" customHeight="1">
      <c r="A68" s="33">
        <v>62</v>
      </c>
      <c r="B68" s="63" t="s">
        <v>231</v>
      </c>
      <c r="C68" s="64" t="s">
        <v>235</v>
      </c>
      <c r="D68" s="63" t="s">
        <v>56</v>
      </c>
      <c r="E68" s="79">
        <v>371</v>
      </c>
      <c r="F68" s="81" t="s">
        <v>107</v>
      </c>
      <c r="G68" s="171" t="s">
        <v>236</v>
      </c>
      <c r="H68" s="33" t="s">
        <v>237</v>
      </c>
      <c r="I68" s="33" t="s">
        <v>69</v>
      </c>
      <c r="J68" s="168"/>
      <c r="K68" s="70"/>
      <c r="L68" s="72" t="s">
        <v>238</v>
      </c>
      <c r="M68" s="74"/>
      <c r="N68" s="73"/>
      <c r="O68" s="74"/>
      <c r="P68"/>
      <c r="Q68"/>
      <c r="R68"/>
      <c r="S68"/>
      <c r="T68"/>
    </row>
    <row r="69" spans="1:20" ht="21" customHeight="1">
      <c r="A69" s="33">
        <v>63</v>
      </c>
      <c r="B69" s="63" t="s">
        <v>231</v>
      </c>
      <c r="C69" s="64" t="s">
        <v>239</v>
      </c>
      <c r="D69" s="63" t="s">
        <v>56</v>
      </c>
      <c r="E69" s="79">
        <v>288</v>
      </c>
      <c r="F69" s="84" t="s">
        <v>75</v>
      </c>
      <c r="G69" s="33" t="s">
        <v>208</v>
      </c>
      <c r="H69" s="169">
        <v>296</v>
      </c>
      <c r="I69" s="33" t="s">
        <v>98</v>
      </c>
      <c r="J69" s="168"/>
      <c r="K69" s="70"/>
      <c r="L69" s="153" t="s">
        <v>240</v>
      </c>
      <c r="M69" s="74"/>
      <c r="N69" s="73"/>
      <c r="O69" s="74"/>
      <c r="P69"/>
      <c r="Q69"/>
      <c r="R69"/>
      <c r="S69"/>
      <c r="T69"/>
    </row>
    <row r="70" spans="1:20" ht="21" customHeight="1">
      <c r="A70" s="33">
        <v>64</v>
      </c>
      <c r="B70" s="63" t="s">
        <v>231</v>
      </c>
      <c r="C70" s="64" t="s">
        <v>241</v>
      </c>
      <c r="D70" s="63" t="s">
        <v>56</v>
      </c>
      <c r="E70" s="79">
        <v>376</v>
      </c>
      <c r="F70" s="81" t="s">
        <v>206</v>
      </c>
      <c r="G70" s="33" t="s">
        <v>93</v>
      </c>
      <c r="H70" s="169">
        <v>401</v>
      </c>
      <c r="I70" s="33" t="s">
        <v>98</v>
      </c>
      <c r="J70" s="168"/>
      <c r="K70" s="70"/>
      <c r="L70" s="153"/>
      <c r="M70" s="74"/>
      <c r="N70" s="73"/>
      <c r="O70" s="74"/>
      <c r="P70"/>
      <c r="Q70"/>
      <c r="R70"/>
      <c r="S70"/>
      <c r="T70"/>
    </row>
    <row r="71" spans="1:20" ht="21" customHeight="1">
      <c r="A71" s="85">
        <v>65</v>
      </c>
      <c r="B71" s="123" t="s">
        <v>231</v>
      </c>
      <c r="C71" s="124" t="s">
        <v>242</v>
      </c>
      <c r="D71" s="123" t="s">
        <v>56</v>
      </c>
      <c r="E71" s="176">
        <v>390</v>
      </c>
      <c r="F71" s="126" t="s">
        <v>119</v>
      </c>
      <c r="G71" s="85" t="s">
        <v>109</v>
      </c>
      <c r="H71" s="177" t="s">
        <v>211</v>
      </c>
      <c r="I71" s="85" t="s">
        <v>98</v>
      </c>
      <c r="J71" s="173"/>
      <c r="K71" s="128"/>
      <c r="L71" s="159"/>
      <c r="M71" s="130"/>
      <c r="N71" s="131"/>
      <c r="O71" s="130"/>
      <c r="P71"/>
      <c r="Q71"/>
      <c r="R71"/>
      <c r="S71"/>
      <c r="T71"/>
    </row>
    <row r="72" spans="1:20" ht="21" customHeight="1">
      <c r="A72" s="178"/>
      <c r="B72" s="179"/>
      <c r="C72" s="132" t="s">
        <v>149</v>
      </c>
      <c r="D72" s="133"/>
      <c r="E72" s="134"/>
      <c r="F72" s="135">
        <v>3</v>
      </c>
      <c r="G72" s="135"/>
      <c r="H72" s="180">
        <v>7</v>
      </c>
      <c r="I72" s="135">
        <v>2</v>
      </c>
      <c r="J72" s="135"/>
      <c r="K72" s="74"/>
      <c r="L72" s="153"/>
      <c r="M72" s="74"/>
      <c r="N72" s="73"/>
      <c r="O72" s="74"/>
      <c r="P72"/>
      <c r="Q72"/>
      <c r="R72"/>
      <c r="S72"/>
      <c r="T72"/>
    </row>
    <row r="73" spans="1:20" ht="21" customHeight="1" thickBot="1">
      <c r="A73" s="178"/>
      <c r="B73" s="179"/>
      <c r="C73" s="138" t="s">
        <v>150</v>
      </c>
      <c r="D73" s="139"/>
      <c r="E73" s="140"/>
      <c r="F73" s="141">
        <v>1</v>
      </c>
      <c r="G73" s="141">
        <v>3</v>
      </c>
      <c r="H73" s="181">
        <v>6</v>
      </c>
      <c r="I73" s="141">
        <v>1</v>
      </c>
      <c r="J73" s="141">
        <v>1</v>
      </c>
      <c r="K73" s="109"/>
      <c r="L73" s="165"/>
      <c r="M73" s="109"/>
      <c r="N73" s="110"/>
      <c r="O73" s="109"/>
      <c r="P73"/>
      <c r="Q73"/>
      <c r="R73"/>
      <c r="S73"/>
      <c r="T73"/>
    </row>
    <row r="74" spans="1:20" ht="21" customHeight="1">
      <c r="A74" s="86">
        <v>66</v>
      </c>
      <c r="B74" s="87" t="s">
        <v>243</v>
      </c>
      <c r="C74" s="88" t="s">
        <v>244</v>
      </c>
      <c r="D74" s="87" t="s">
        <v>77</v>
      </c>
      <c r="E74" s="89">
        <v>118</v>
      </c>
      <c r="F74" s="182" t="s">
        <v>245</v>
      </c>
      <c r="G74" s="86" t="s">
        <v>246</v>
      </c>
      <c r="H74" s="86" t="s">
        <v>247</v>
      </c>
      <c r="I74" s="174">
        <v>110</v>
      </c>
      <c r="J74" s="167" t="s">
        <v>145</v>
      </c>
      <c r="K74" s="175" t="s">
        <v>248</v>
      </c>
      <c r="L74" s="183"/>
      <c r="M74" s="95"/>
      <c r="N74" s="95"/>
      <c r="O74" s="95"/>
      <c r="P74"/>
      <c r="Q74"/>
      <c r="R74"/>
      <c r="S74"/>
      <c r="T74"/>
    </row>
    <row r="75" spans="1:20" ht="21" customHeight="1">
      <c r="A75" s="33">
        <v>67</v>
      </c>
      <c r="B75" s="63" t="s">
        <v>243</v>
      </c>
      <c r="C75" s="64" t="s">
        <v>249</v>
      </c>
      <c r="D75" s="63" t="s">
        <v>77</v>
      </c>
      <c r="E75" s="65">
        <v>164</v>
      </c>
      <c r="F75" s="81" t="s">
        <v>85</v>
      </c>
      <c r="G75" s="33" t="s">
        <v>119</v>
      </c>
      <c r="H75" s="33" t="s">
        <v>137</v>
      </c>
      <c r="I75" s="169">
        <v>183</v>
      </c>
      <c r="J75" s="168"/>
      <c r="K75" s="70"/>
      <c r="L75" s="184"/>
      <c r="M75" s="74"/>
      <c r="N75" s="74"/>
      <c r="O75" s="74"/>
      <c r="P75"/>
      <c r="Q75"/>
      <c r="R75"/>
      <c r="S75"/>
      <c r="T75"/>
    </row>
    <row r="76" spans="1:20" ht="21" customHeight="1">
      <c r="A76" s="33">
        <v>68</v>
      </c>
      <c r="B76" s="63" t="s">
        <v>243</v>
      </c>
      <c r="C76" s="64" t="s">
        <v>250</v>
      </c>
      <c r="D76" s="63" t="s">
        <v>77</v>
      </c>
      <c r="E76" s="65">
        <v>205</v>
      </c>
      <c r="F76" s="81" t="s">
        <v>251</v>
      </c>
      <c r="G76" s="171" t="s">
        <v>252</v>
      </c>
      <c r="H76" s="185" t="s">
        <v>75</v>
      </c>
      <c r="I76" s="33" t="s">
        <v>145</v>
      </c>
      <c r="J76" s="168" t="s">
        <v>253</v>
      </c>
      <c r="K76" s="70"/>
      <c r="L76" s="72" t="s">
        <v>254</v>
      </c>
      <c r="M76" s="74"/>
      <c r="N76" s="74"/>
      <c r="O76" s="74"/>
      <c r="P76"/>
      <c r="Q76"/>
      <c r="R76"/>
      <c r="S76"/>
      <c r="T76"/>
    </row>
    <row r="77" spans="1:20" ht="21" customHeight="1">
      <c r="A77" s="33">
        <v>69</v>
      </c>
      <c r="B77" s="63" t="s">
        <v>243</v>
      </c>
      <c r="C77" s="64" t="s">
        <v>255</v>
      </c>
      <c r="D77" s="63" t="s">
        <v>56</v>
      </c>
      <c r="E77" s="65">
        <v>187</v>
      </c>
      <c r="F77" s="186" t="s">
        <v>196</v>
      </c>
      <c r="G77" s="33" t="s">
        <v>137</v>
      </c>
      <c r="H77" s="185" t="s">
        <v>75</v>
      </c>
      <c r="I77" s="33" t="s">
        <v>69</v>
      </c>
      <c r="J77" s="168" t="s">
        <v>253</v>
      </c>
      <c r="K77" s="70"/>
      <c r="L77" s="184"/>
      <c r="M77" s="74"/>
      <c r="N77" s="187" t="s">
        <v>256</v>
      </c>
      <c r="O77" s="74"/>
      <c r="P77"/>
      <c r="Q77"/>
      <c r="R77"/>
      <c r="S77"/>
      <c r="T77"/>
    </row>
    <row r="78" spans="1:20" ht="21" customHeight="1">
      <c r="A78" s="33">
        <v>70</v>
      </c>
      <c r="B78" s="63" t="s">
        <v>243</v>
      </c>
      <c r="C78" s="64" t="s">
        <v>257</v>
      </c>
      <c r="D78" s="63" t="s">
        <v>56</v>
      </c>
      <c r="E78" s="65">
        <v>114</v>
      </c>
      <c r="F78" s="81" t="s">
        <v>258</v>
      </c>
      <c r="G78" s="33" t="s">
        <v>127</v>
      </c>
      <c r="H78" s="185" t="s">
        <v>259</v>
      </c>
      <c r="I78" s="33" t="s">
        <v>260</v>
      </c>
      <c r="J78" s="168"/>
      <c r="K78" s="70"/>
      <c r="L78" s="184"/>
      <c r="M78" s="74"/>
      <c r="N78" s="74"/>
      <c r="O78" s="74"/>
      <c r="P78"/>
      <c r="Q78"/>
      <c r="R78"/>
      <c r="S78"/>
      <c r="T78"/>
    </row>
    <row r="79" spans="1:20" ht="21" customHeight="1">
      <c r="A79" s="33">
        <v>71</v>
      </c>
      <c r="B79" s="63" t="s">
        <v>243</v>
      </c>
      <c r="C79" s="64" t="s">
        <v>261</v>
      </c>
      <c r="D79" s="63" t="s">
        <v>56</v>
      </c>
      <c r="E79" s="65">
        <v>232</v>
      </c>
      <c r="F79" s="81" t="s">
        <v>137</v>
      </c>
      <c r="G79" s="33" t="s">
        <v>69</v>
      </c>
      <c r="H79" s="188" t="s">
        <v>262</v>
      </c>
      <c r="I79" s="33" t="s">
        <v>72</v>
      </c>
      <c r="J79" s="168" t="s">
        <v>263</v>
      </c>
      <c r="K79" s="70"/>
      <c r="L79" s="184"/>
      <c r="M79" s="74"/>
      <c r="N79" s="187" t="s">
        <v>264</v>
      </c>
      <c r="O79" s="74"/>
      <c r="P79"/>
      <c r="Q79"/>
      <c r="R79"/>
      <c r="S79"/>
      <c r="T79"/>
    </row>
    <row r="80" spans="1:20" ht="21" customHeight="1">
      <c r="A80" s="33">
        <v>72</v>
      </c>
      <c r="B80" s="63" t="s">
        <v>243</v>
      </c>
      <c r="C80" s="64" t="s">
        <v>265</v>
      </c>
      <c r="D80" s="63" t="s">
        <v>56</v>
      </c>
      <c r="E80" s="65">
        <v>136</v>
      </c>
      <c r="F80" s="189" t="s">
        <v>137</v>
      </c>
      <c r="G80" s="33" t="s">
        <v>98</v>
      </c>
      <c r="H80" s="185" t="s">
        <v>266</v>
      </c>
      <c r="I80" s="33" t="s">
        <v>99</v>
      </c>
      <c r="J80" s="168"/>
      <c r="K80" s="70"/>
      <c r="L80" s="184"/>
      <c r="M80" s="74"/>
      <c r="N80" s="74"/>
      <c r="O80" s="74"/>
      <c r="P80"/>
      <c r="Q80"/>
      <c r="R80"/>
      <c r="S80"/>
      <c r="T80"/>
    </row>
    <row r="81" spans="1:20" ht="21" customHeight="1">
      <c r="A81" s="33">
        <v>73</v>
      </c>
      <c r="B81" s="63" t="s">
        <v>243</v>
      </c>
      <c r="C81" s="64" t="s">
        <v>267</v>
      </c>
      <c r="D81" s="63" t="s">
        <v>56</v>
      </c>
      <c r="E81" s="65">
        <v>146</v>
      </c>
      <c r="F81" s="190" t="s">
        <v>75</v>
      </c>
      <c r="G81" s="33" t="s">
        <v>99</v>
      </c>
      <c r="H81" s="33" t="s">
        <v>268</v>
      </c>
      <c r="I81" s="33" t="s">
        <v>109</v>
      </c>
      <c r="J81" s="168"/>
      <c r="K81" s="70"/>
      <c r="L81" s="184"/>
      <c r="M81" s="74"/>
      <c r="N81" s="74"/>
      <c r="O81" s="74"/>
      <c r="P81"/>
      <c r="Q81"/>
      <c r="R81"/>
      <c r="S81"/>
      <c r="T81"/>
    </row>
    <row r="82" spans="1:20" ht="21" customHeight="1">
      <c r="A82" s="33">
        <v>74</v>
      </c>
      <c r="B82" s="63" t="s">
        <v>243</v>
      </c>
      <c r="C82" s="64" t="s">
        <v>269</v>
      </c>
      <c r="D82" s="63" t="s">
        <v>77</v>
      </c>
      <c r="E82" s="65">
        <v>39</v>
      </c>
      <c r="F82" s="81"/>
      <c r="G82" s="33"/>
      <c r="H82" s="185" t="s">
        <v>75</v>
      </c>
      <c r="I82" s="33"/>
      <c r="J82" s="168"/>
      <c r="K82" s="70"/>
      <c r="L82" s="184"/>
      <c r="M82" s="74"/>
      <c r="N82" s="74"/>
      <c r="O82" s="74"/>
      <c r="P82"/>
      <c r="Q82"/>
      <c r="R82"/>
      <c r="S82"/>
      <c r="T82"/>
    </row>
    <row r="83" spans="1:20" ht="21" customHeight="1">
      <c r="A83" s="33">
        <v>75</v>
      </c>
      <c r="B83" s="63" t="s">
        <v>243</v>
      </c>
      <c r="C83" s="64" t="s">
        <v>270</v>
      </c>
      <c r="D83" s="63" t="s">
        <v>77</v>
      </c>
      <c r="E83" s="65">
        <v>163</v>
      </c>
      <c r="F83" s="190" t="s">
        <v>75</v>
      </c>
      <c r="G83" s="33" t="s">
        <v>85</v>
      </c>
      <c r="H83" s="33" t="s">
        <v>69</v>
      </c>
      <c r="I83" s="33" t="s">
        <v>99</v>
      </c>
      <c r="J83" s="168" t="s">
        <v>61</v>
      </c>
      <c r="K83" s="70"/>
      <c r="L83" s="184"/>
      <c r="M83" s="74"/>
      <c r="N83" s="74"/>
      <c r="O83" s="74"/>
      <c r="P83"/>
      <c r="Q83"/>
      <c r="R83"/>
      <c r="S83"/>
      <c r="T83"/>
    </row>
    <row r="84" spans="1:20" ht="21" customHeight="1" thickBot="1">
      <c r="A84" s="85">
        <v>76</v>
      </c>
      <c r="B84" s="123" t="s">
        <v>243</v>
      </c>
      <c r="C84" s="124" t="s">
        <v>271</v>
      </c>
      <c r="D84" s="123" t="s">
        <v>56</v>
      </c>
      <c r="E84" s="125">
        <v>89</v>
      </c>
      <c r="F84" s="126" t="s">
        <v>206</v>
      </c>
      <c r="G84" s="191" t="s">
        <v>272</v>
      </c>
      <c r="H84" s="191">
        <v>182</v>
      </c>
      <c r="I84" s="85" t="s">
        <v>99</v>
      </c>
      <c r="J84" s="173"/>
      <c r="K84" s="128"/>
      <c r="L84" s="192"/>
      <c r="M84" s="130"/>
      <c r="N84" s="130"/>
      <c r="O84" s="130"/>
      <c r="P84"/>
      <c r="Q84"/>
      <c r="R84"/>
      <c r="S84"/>
      <c r="T84"/>
    </row>
    <row r="85" spans="1:20" ht="21" customHeight="1">
      <c r="A85" s="86">
        <v>77</v>
      </c>
      <c r="B85" s="87" t="s">
        <v>273</v>
      </c>
      <c r="C85" s="88" t="s">
        <v>274</v>
      </c>
      <c r="D85" s="87" t="s">
        <v>56</v>
      </c>
      <c r="E85" s="89">
        <v>143</v>
      </c>
      <c r="F85" s="90" t="s">
        <v>107</v>
      </c>
      <c r="G85" s="86" t="s">
        <v>122</v>
      </c>
      <c r="H85" s="193">
        <v>195</v>
      </c>
      <c r="I85" s="86" t="s">
        <v>72</v>
      </c>
      <c r="J85" s="167" t="s">
        <v>263</v>
      </c>
      <c r="K85" s="93"/>
      <c r="L85" s="183"/>
      <c r="M85" s="95"/>
      <c r="N85" s="96"/>
      <c r="O85" s="95"/>
      <c r="P85"/>
      <c r="Q85"/>
      <c r="R85"/>
      <c r="S85"/>
      <c r="T85"/>
    </row>
    <row r="86" spans="1:20" ht="21" customHeight="1">
      <c r="A86" s="33">
        <v>78</v>
      </c>
      <c r="B86" s="63" t="s">
        <v>273</v>
      </c>
      <c r="C86" s="64" t="s">
        <v>275</v>
      </c>
      <c r="D86" s="63" t="s">
        <v>56</v>
      </c>
      <c r="E86" s="65">
        <v>142</v>
      </c>
      <c r="F86" s="81" t="s">
        <v>176</v>
      </c>
      <c r="G86" s="169" t="s">
        <v>276</v>
      </c>
      <c r="H86" s="97" t="s">
        <v>277</v>
      </c>
      <c r="I86" s="33" t="s">
        <v>99</v>
      </c>
      <c r="J86" s="168"/>
      <c r="K86" s="70"/>
      <c r="L86" s="184"/>
      <c r="M86" s="74"/>
      <c r="N86" s="73"/>
      <c r="O86" s="74"/>
      <c r="P86"/>
      <c r="Q86"/>
      <c r="R86"/>
      <c r="S86"/>
      <c r="T86"/>
    </row>
    <row r="87" spans="1:20" ht="21" customHeight="1">
      <c r="A87" s="33">
        <v>79</v>
      </c>
      <c r="B87" s="63" t="s">
        <v>273</v>
      </c>
      <c r="C87" s="64" t="s">
        <v>278</v>
      </c>
      <c r="D87" s="63" t="s">
        <v>56</v>
      </c>
      <c r="E87" s="65">
        <v>88</v>
      </c>
      <c r="F87" s="81"/>
      <c r="G87" s="33"/>
      <c r="H87" s="169">
        <v>101</v>
      </c>
      <c r="I87" s="33"/>
      <c r="J87" s="168"/>
      <c r="K87" s="70"/>
      <c r="L87" s="184"/>
      <c r="M87" s="74"/>
      <c r="N87" s="73"/>
      <c r="O87" s="74"/>
      <c r="P87"/>
      <c r="Q87"/>
      <c r="R87"/>
      <c r="S87"/>
      <c r="T87"/>
    </row>
    <row r="88" spans="1:20" ht="21" customHeight="1">
      <c r="A88" s="33">
        <v>80</v>
      </c>
      <c r="B88" s="63" t="s">
        <v>273</v>
      </c>
      <c r="C88" s="64" t="s">
        <v>279</v>
      </c>
      <c r="D88" s="63" t="s">
        <v>56</v>
      </c>
      <c r="E88" s="65">
        <v>224</v>
      </c>
      <c r="F88" s="190" t="s">
        <v>75</v>
      </c>
      <c r="G88" s="33" t="s">
        <v>280</v>
      </c>
      <c r="H88" s="33" t="s">
        <v>69</v>
      </c>
      <c r="I88" s="33" t="s">
        <v>72</v>
      </c>
      <c r="J88" s="168" t="s">
        <v>145</v>
      </c>
      <c r="K88" s="70"/>
      <c r="L88" s="184"/>
      <c r="M88" s="74"/>
      <c r="N88" s="73"/>
      <c r="O88" s="74"/>
      <c r="P88"/>
      <c r="Q88"/>
      <c r="R88"/>
      <c r="S88"/>
      <c r="T88"/>
    </row>
    <row r="89" spans="1:20" ht="21" customHeight="1">
      <c r="A89" s="33">
        <v>81</v>
      </c>
      <c r="B89" s="63" t="s">
        <v>273</v>
      </c>
      <c r="C89" s="64" t="s">
        <v>281</v>
      </c>
      <c r="D89" s="63" t="s">
        <v>77</v>
      </c>
      <c r="E89" s="65">
        <v>46</v>
      </c>
      <c r="F89" s="81" t="s">
        <v>206</v>
      </c>
      <c r="G89" s="169" t="s">
        <v>282</v>
      </c>
      <c r="H89" s="185" t="s">
        <v>75</v>
      </c>
      <c r="I89" s="33" t="s">
        <v>119</v>
      </c>
      <c r="J89" s="168" t="s">
        <v>283</v>
      </c>
      <c r="K89" s="70"/>
      <c r="L89" s="184"/>
      <c r="M89" s="74"/>
      <c r="N89" s="73"/>
      <c r="O89" s="74"/>
      <c r="P89"/>
      <c r="Q89"/>
      <c r="R89"/>
      <c r="S89"/>
      <c r="T89"/>
    </row>
    <row r="90" spans="1:20" ht="21" customHeight="1">
      <c r="A90" s="33">
        <v>82</v>
      </c>
      <c r="B90" s="63" t="s">
        <v>273</v>
      </c>
      <c r="C90" s="64" t="s">
        <v>284</v>
      </c>
      <c r="D90" s="63" t="s">
        <v>56</v>
      </c>
      <c r="E90" s="65">
        <v>246</v>
      </c>
      <c r="F90" s="190" t="s">
        <v>285</v>
      </c>
      <c r="G90" s="188" t="s">
        <v>69</v>
      </c>
      <c r="H90" s="185" t="s">
        <v>75</v>
      </c>
      <c r="I90" s="33" t="s">
        <v>286</v>
      </c>
      <c r="J90" s="168" t="s">
        <v>263</v>
      </c>
      <c r="K90" s="70"/>
      <c r="L90" s="184"/>
      <c r="M90" s="74"/>
      <c r="N90" s="194" t="s">
        <v>287</v>
      </c>
      <c r="O90" s="74"/>
      <c r="P90"/>
      <c r="Q90"/>
      <c r="R90"/>
      <c r="S90"/>
      <c r="T90"/>
    </row>
    <row r="91" spans="1:20" ht="21" customHeight="1">
      <c r="A91" s="33">
        <v>83</v>
      </c>
      <c r="B91" s="63" t="s">
        <v>273</v>
      </c>
      <c r="C91" s="64" t="s">
        <v>288</v>
      </c>
      <c r="D91" s="63" t="s">
        <v>77</v>
      </c>
      <c r="E91" s="65">
        <v>64</v>
      </c>
      <c r="F91" s="81" t="s">
        <v>289</v>
      </c>
      <c r="G91" s="33" t="s">
        <v>69</v>
      </c>
      <c r="H91" s="185" t="s">
        <v>75</v>
      </c>
      <c r="I91" s="33" t="s">
        <v>72</v>
      </c>
      <c r="J91" s="168" t="s">
        <v>61</v>
      </c>
      <c r="K91" s="70"/>
      <c r="L91" s="151" t="s">
        <v>290</v>
      </c>
      <c r="M91" s="151" t="s">
        <v>291</v>
      </c>
      <c r="N91" s="73"/>
      <c r="O91" s="74"/>
      <c r="P91"/>
      <c r="Q91"/>
      <c r="R91"/>
      <c r="S91"/>
      <c r="T91"/>
    </row>
    <row r="92" spans="1:20" ht="21" customHeight="1">
      <c r="A92" s="33">
        <v>84</v>
      </c>
      <c r="B92" s="63" t="s">
        <v>273</v>
      </c>
      <c r="C92" s="64" t="s">
        <v>292</v>
      </c>
      <c r="D92" s="63" t="s">
        <v>56</v>
      </c>
      <c r="E92" s="65">
        <v>157</v>
      </c>
      <c r="F92" s="81" t="s">
        <v>107</v>
      </c>
      <c r="G92" s="169" t="s">
        <v>293</v>
      </c>
      <c r="H92" s="185" t="s">
        <v>75</v>
      </c>
      <c r="I92" s="33" t="s">
        <v>66</v>
      </c>
      <c r="J92" s="168" t="s">
        <v>263</v>
      </c>
      <c r="K92" s="70"/>
      <c r="L92" s="184"/>
      <c r="M92" s="74"/>
      <c r="N92" s="73"/>
      <c r="O92" s="74"/>
      <c r="P92"/>
      <c r="Q92"/>
      <c r="R92"/>
      <c r="S92"/>
      <c r="T92"/>
    </row>
    <row r="93" spans="1:20" ht="21" customHeight="1">
      <c r="A93" s="33">
        <v>85</v>
      </c>
      <c r="B93" s="63" t="s">
        <v>273</v>
      </c>
      <c r="C93" s="64" t="s">
        <v>294</v>
      </c>
      <c r="D93" s="63" t="s">
        <v>56</v>
      </c>
      <c r="E93" s="79">
        <v>288</v>
      </c>
      <c r="F93" s="81" t="s">
        <v>286</v>
      </c>
      <c r="G93" s="33" t="s">
        <v>194</v>
      </c>
      <c r="H93" s="185" t="s">
        <v>75</v>
      </c>
      <c r="I93" s="169">
        <v>281</v>
      </c>
      <c r="J93" s="168" t="s">
        <v>263</v>
      </c>
      <c r="K93" s="70"/>
      <c r="L93" s="184"/>
      <c r="M93" s="74"/>
      <c r="N93" s="73"/>
      <c r="O93" s="74"/>
      <c r="P93"/>
      <c r="Q93"/>
      <c r="R93"/>
      <c r="S93"/>
      <c r="T93"/>
    </row>
    <row r="94" spans="1:20" ht="21" customHeight="1">
      <c r="A94" s="33">
        <v>86</v>
      </c>
      <c r="B94" s="63" t="s">
        <v>273</v>
      </c>
      <c r="C94" s="64" t="s">
        <v>295</v>
      </c>
      <c r="D94" s="63" t="s">
        <v>56</v>
      </c>
      <c r="E94" s="65">
        <v>146</v>
      </c>
      <c r="F94" s="81" t="s">
        <v>71</v>
      </c>
      <c r="G94" s="33" t="s">
        <v>69</v>
      </c>
      <c r="H94" s="185" t="s">
        <v>75</v>
      </c>
      <c r="I94" s="169">
        <v>148</v>
      </c>
      <c r="J94" s="168" t="s">
        <v>296</v>
      </c>
      <c r="K94" s="70"/>
      <c r="L94" s="184"/>
      <c r="M94" s="74"/>
      <c r="N94" s="73"/>
      <c r="O94" s="74"/>
      <c r="P94"/>
      <c r="Q94"/>
      <c r="R94"/>
      <c r="S94"/>
      <c r="T94"/>
    </row>
    <row r="95" spans="1:20" ht="21" customHeight="1">
      <c r="A95" s="33">
        <v>87</v>
      </c>
      <c r="B95" s="63" t="s">
        <v>273</v>
      </c>
      <c r="C95" s="64" t="s">
        <v>297</v>
      </c>
      <c r="D95" s="63" t="s">
        <v>56</v>
      </c>
      <c r="E95" s="65">
        <v>126</v>
      </c>
      <c r="F95" s="81" t="s">
        <v>71</v>
      </c>
      <c r="G95" s="33" t="s">
        <v>298</v>
      </c>
      <c r="H95" s="185" t="s">
        <v>75</v>
      </c>
      <c r="I95" s="171">
        <v>134</v>
      </c>
      <c r="J95" s="168" t="s">
        <v>299</v>
      </c>
      <c r="K95" s="70"/>
      <c r="L95" s="195" t="s">
        <v>300</v>
      </c>
      <c r="M95" s="184"/>
      <c r="N95" s="73"/>
      <c r="O95" s="74" t="s">
        <v>301</v>
      </c>
      <c r="P95"/>
      <c r="Q95"/>
      <c r="R95"/>
      <c r="S95"/>
      <c r="T95"/>
    </row>
    <row r="96" spans="1:20" ht="21" customHeight="1">
      <c r="A96" s="33">
        <v>88</v>
      </c>
      <c r="B96" s="63" t="s">
        <v>273</v>
      </c>
      <c r="C96" s="64" t="s">
        <v>302</v>
      </c>
      <c r="D96" s="63" t="s">
        <v>56</v>
      </c>
      <c r="E96" s="65">
        <v>143</v>
      </c>
      <c r="F96" s="81" t="s">
        <v>122</v>
      </c>
      <c r="G96" s="33" t="s">
        <v>303</v>
      </c>
      <c r="H96" s="185" t="s">
        <v>285</v>
      </c>
      <c r="I96" s="169">
        <v>147</v>
      </c>
      <c r="J96" s="168"/>
      <c r="K96" s="70"/>
      <c r="L96" s="184"/>
      <c r="M96" s="74"/>
      <c r="N96" s="73"/>
      <c r="O96" s="74"/>
      <c r="P96"/>
      <c r="Q96"/>
      <c r="R96"/>
      <c r="S96"/>
      <c r="T96"/>
    </row>
    <row r="97" spans="1:20" ht="21" customHeight="1">
      <c r="A97" s="33">
        <v>89</v>
      </c>
      <c r="B97" s="63" t="s">
        <v>273</v>
      </c>
      <c r="C97" s="64" t="s">
        <v>304</v>
      </c>
      <c r="D97" s="63" t="s">
        <v>56</v>
      </c>
      <c r="E97" s="65">
        <v>131</v>
      </c>
      <c r="F97" s="190" t="s">
        <v>75</v>
      </c>
      <c r="G97" s="33" t="s">
        <v>305</v>
      </c>
      <c r="H97" s="33" t="s">
        <v>69</v>
      </c>
      <c r="I97" s="33" t="s">
        <v>72</v>
      </c>
      <c r="J97" s="168"/>
      <c r="K97" s="70"/>
      <c r="L97" s="184"/>
      <c r="M97" s="74"/>
      <c r="N97" s="73"/>
      <c r="O97" s="74"/>
      <c r="P97"/>
      <c r="Q97"/>
      <c r="R97"/>
      <c r="S97"/>
      <c r="T97"/>
    </row>
    <row r="98" spans="1:20" ht="21" customHeight="1" thickBot="1">
      <c r="A98" s="85">
        <v>90</v>
      </c>
      <c r="B98" s="123" t="s">
        <v>273</v>
      </c>
      <c r="C98" s="124" t="s">
        <v>306</v>
      </c>
      <c r="D98" s="123" t="s">
        <v>77</v>
      </c>
      <c r="E98" s="125">
        <v>118</v>
      </c>
      <c r="F98" s="126" t="s">
        <v>122</v>
      </c>
      <c r="G98" s="85" t="s">
        <v>69</v>
      </c>
      <c r="H98" s="185" t="s">
        <v>75</v>
      </c>
      <c r="I98" s="191">
        <v>118</v>
      </c>
      <c r="J98" s="173" t="s">
        <v>307</v>
      </c>
      <c r="K98" s="128"/>
      <c r="L98" s="192"/>
      <c r="M98" s="130"/>
      <c r="N98" s="131"/>
      <c r="O98" s="130"/>
      <c r="P98"/>
      <c r="Q98"/>
      <c r="R98"/>
      <c r="S98"/>
      <c r="T98"/>
    </row>
    <row r="99" spans="1:20" ht="21" customHeight="1">
      <c r="A99" s="86">
        <v>91</v>
      </c>
      <c r="B99" s="87" t="s">
        <v>308</v>
      </c>
      <c r="C99" s="88" t="s">
        <v>309</v>
      </c>
      <c r="D99" s="87" t="s">
        <v>77</v>
      </c>
      <c r="E99" s="89">
        <v>211</v>
      </c>
      <c r="F99" s="90" t="s">
        <v>107</v>
      </c>
      <c r="G99" s="174" t="s">
        <v>310</v>
      </c>
      <c r="H99" s="193">
        <v>208</v>
      </c>
      <c r="I99" s="196" t="s">
        <v>298</v>
      </c>
      <c r="J99" s="167" t="s">
        <v>263</v>
      </c>
      <c r="K99" s="175" t="s">
        <v>311</v>
      </c>
      <c r="L99" s="183"/>
      <c r="M99" s="95"/>
      <c r="N99" s="197" t="s">
        <v>312</v>
      </c>
      <c r="O99" s="95"/>
      <c r="P99"/>
      <c r="Q99"/>
      <c r="R99"/>
      <c r="S99"/>
      <c r="T99"/>
    </row>
    <row r="100" spans="1:20" ht="21" customHeight="1">
      <c r="A100" s="33">
        <v>92</v>
      </c>
      <c r="B100" s="63" t="s">
        <v>313</v>
      </c>
      <c r="C100" s="64" t="s">
        <v>314</v>
      </c>
      <c r="D100" s="63" t="s">
        <v>56</v>
      </c>
      <c r="E100" s="65">
        <v>185</v>
      </c>
      <c r="F100" s="190" t="s">
        <v>75</v>
      </c>
      <c r="G100" s="33" t="s">
        <v>61</v>
      </c>
      <c r="H100" s="185" t="s">
        <v>285</v>
      </c>
      <c r="I100" s="33" t="s">
        <v>315</v>
      </c>
      <c r="J100" s="168" t="s">
        <v>263</v>
      </c>
      <c r="K100" s="70"/>
      <c r="L100" s="184"/>
      <c r="M100" s="74"/>
      <c r="N100" s="73"/>
      <c r="O100" s="74"/>
      <c r="P100"/>
      <c r="Q100"/>
      <c r="R100"/>
      <c r="S100"/>
      <c r="T100"/>
    </row>
    <row r="101" spans="1:20" ht="21" customHeight="1">
      <c r="A101" s="33">
        <v>93</v>
      </c>
      <c r="B101" s="63" t="s">
        <v>313</v>
      </c>
      <c r="C101" s="64" t="s">
        <v>316</v>
      </c>
      <c r="D101" s="63" t="s">
        <v>56</v>
      </c>
      <c r="E101" s="65">
        <v>86</v>
      </c>
      <c r="F101" s="81" t="s">
        <v>317</v>
      </c>
      <c r="G101" s="33" t="s">
        <v>280</v>
      </c>
      <c r="H101" s="185" t="s">
        <v>75</v>
      </c>
      <c r="I101" s="33" t="s">
        <v>69</v>
      </c>
      <c r="J101" s="168" t="s">
        <v>61</v>
      </c>
      <c r="K101" s="70"/>
      <c r="L101" s="184"/>
      <c r="M101" s="74"/>
      <c r="N101" s="73"/>
      <c r="O101" s="74"/>
      <c r="P101"/>
      <c r="Q101"/>
      <c r="R101"/>
      <c r="S101"/>
      <c r="T101"/>
    </row>
    <row r="102" spans="1:20" ht="21" customHeight="1">
      <c r="A102" s="33">
        <v>94</v>
      </c>
      <c r="B102" s="63" t="s">
        <v>308</v>
      </c>
      <c r="C102" s="64" t="s">
        <v>318</v>
      </c>
      <c r="D102" s="63" t="s">
        <v>77</v>
      </c>
      <c r="E102" s="65">
        <v>164</v>
      </c>
      <c r="F102" s="81"/>
      <c r="G102" s="33"/>
      <c r="H102" s="33"/>
      <c r="I102" s="33"/>
      <c r="J102" s="168"/>
      <c r="K102" s="70"/>
      <c r="L102" s="198" t="s">
        <v>319</v>
      </c>
      <c r="M102" s="74"/>
      <c r="N102" s="73"/>
      <c r="O102" s="74"/>
      <c r="P102"/>
      <c r="Q102"/>
      <c r="R102"/>
      <c r="S102"/>
      <c r="T102"/>
    </row>
    <row r="103" spans="1:20" ht="21" customHeight="1">
      <c r="A103" s="33">
        <v>95</v>
      </c>
      <c r="B103" s="63" t="s">
        <v>308</v>
      </c>
      <c r="C103" s="64" t="s">
        <v>320</v>
      </c>
      <c r="D103" s="63" t="s">
        <v>77</v>
      </c>
      <c r="E103" s="65">
        <v>135</v>
      </c>
      <c r="F103" s="81" t="s">
        <v>122</v>
      </c>
      <c r="G103" s="171" t="s">
        <v>321</v>
      </c>
      <c r="H103" s="33" t="s">
        <v>69</v>
      </c>
      <c r="I103" s="33" t="s">
        <v>72</v>
      </c>
      <c r="J103" s="168" t="s">
        <v>61</v>
      </c>
      <c r="K103" s="70"/>
      <c r="L103" s="153"/>
      <c r="M103" s="72" t="s">
        <v>322</v>
      </c>
      <c r="N103" s="73"/>
      <c r="O103" s="74"/>
      <c r="P103"/>
      <c r="Q103"/>
      <c r="R103"/>
      <c r="S103"/>
      <c r="T103"/>
    </row>
    <row r="104" spans="1:20" ht="21" customHeight="1">
      <c r="A104" s="33">
        <v>96</v>
      </c>
      <c r="B104" s="63" t="s">
        <v>308</v>
      </c>
      <c r="C104" s="64" t="s">
        <v>323</v>
      </c>
      <c r="D104" s="63" t="s">
        <v>77</v>
      </c>
      <c r="E104" s="65">
        <v>290</v>
      </c>
      <c r="F104" s="199" t="s">
        <v>324</v>
      </c>
      <c r="G104" s="33" t="s">
        <v>251</v>
      </c>
      <c r="H104" s="33" t="s">
        <v>137</v>
      </c>
      <c r="I104" s="185" t="s">
        <v>75</v>
      </c>
      <c r="J104" s="168" t="s">
        <v>263</v>
      </c>
      <c r="K104" s="150" t="s">
        <v>325</v>
      </c>
      <c r="L104" s="153"/>
      <c r="M104" s="153"/>
      <c r="N104" s="73" t="s">
        <v>326</v>
      </c>
      <c r="O104" s="74"/>
      <c r="P104"/>
      <c r="Q104"/>
      <c r="R104"/>
      <c r="S104"/>
      <c r="T104"/>
    </row>
    <row r="105" spans="1:20" ht="21" customHeight="1" thickBot="1">
      <c r="A105" s="85">
        <v>97</v>
      </c>
      <c r="B105" s="123" t="s">
        <v>308</v>
      </c>
      <c r="C105" s="124" t="s">
        <v>327</v>
      </c>
      <c r="D105" s="123" t="s">
        <v>56</v>
      </c>
      <c r="E105" s="125">
        <v>99</v>
      </c>
      <c r="F105" s="126" t="s">
        <v>57</v>
      </c>
      <c r="G105" s="191" t="s">
        <v>328</v>
      </c>
      <c r="H105" s="85" t="s">
        <v>68</v>
      </c>
      <c r="I105" s="85" t="s">
        <v>72</v>
      </c>
      <c r="J105" s="173" t="s">
        <v>61</v>
      </c>
      <c r="K105" s="200" t="s">
        <v>329</v>
      </c>
      <c r="L105" s="192"/>
      <c r="M105" s="130"/>
      <c r="N105" s="131" t="s">
        <v>330</v>
      </c>
      <c r="O105" s="130"/>
      <c r="P105"/>
      <c r="Q105"/>
      <c r="R105"/>
      <c r="S105"/>
      <c r="T105"/>
    </row>
    <row r="106" spans="1:20" ht="21" customHeight="1">
      <c r="A106" s="86">
        <v>98</v>
      </c>
      <c r="B106" s="87" t="s">
        <v>331</v>
      </c>
      <c r="C106" s="88" t="s">
        <v>332</v>
      </c>
      <c r="D106" s="87" t="s">
        <v>56</v>
      </c>
      <c r="E106" s="89">
        <v>84</v>
      </c>
      <c r="F106" s="90" t="s">
        <v>57</v>
      </c>
      <c r="G106" s="193" t="s">
        <v>333</v>
      </c>
      <c r="H106" s="193">
        <v>94</v>
      </c>
      <c r="I106" s="86" t="s">
        <v>72</v>
      </c>
      <c r="J106" s="167" t="s">
        <v>299</v>
      </c>
      <c r="K106" s="93"/>
      <c r="L106" s="183"/>
      <c r="M106" s="95"/>
      <c r="N106" s="96"/>
      <c r="O106" s="95"/>
      <c r="P106"/>
      <c r="Q106"/>
      <c r="R106"/>
      <c r="S106"/>
      <c r="T106"/>
    </row>
    <row r="107" spans="1:20" ht="21" customHeight="1">
      <c r="A107" s="33">
        <v>99</v>
      </c>
      <c r="B107" s="63" t="s">
        <v>334</v>
      </c>
      <c r="C107" s="64" t="s">
        <v>335</v>
      </c>
      <c r="D107" s="63" t="s">
        <v>56</v>
      </c>
      <c r="E107" s="65">
        <v>75</v>
      </c>
      <c r="F107" s="81" t="s">
        <v>61</v>
      </c>
      <c r="G107" s="171" t="s">
        <v>336</v>
      </c>
      <c r="H107" s="185" t="s">
        <v>285</v>
      </c>
      <c r="I107" s="33" t="s">
        <v>315</v>
      </c>
      <c r="J107" s="168" t="s">
        <v>263</v>
      </c>
      <c r="K107" s="70"/>
      <c r="L107" s="184"/>
      <c r="M107" s="72" t="s">
        <v>337</v>
      </c>
      <c r="N107" s="73"/>
      <c r="O107" s="74"/>
      <c r="P107"/>
      <c r="Q107"/>
      <c r="R107"/>
      <c r="S107"/>
      <c r="T107"/>
    </row>
    <row r="108" spans="1:20" ht="21" customHeight="1">
      <c r="A108" s="33">
        <v>100</v>
      </c>
      <c r="B108" s="63" t="s">
        <v>334</v>
      </c>
      <c r="C108" s="64" t="s">
        <v>338</v>
      </c>
      <c r="D108" s="63" t="s">
        <v>56</v>
      </c>
      <c r="E108" s="79">
        <v>255</v>
      </c>
      <c r="F108" s="81" t="s">
        <v>286</v>
      </c>
      <c r="G108" s="33" t="s">
        <v>61</v>
      </c>
      <c r="H108" s="169">
        <v>266</v>
      </c>
      <c r="I108" s="169">
        <v>266</v>
      </c>
      <c r="J108" s="168" t="s">
        <v>263</v>
      </c>
      <c r="K108" s="70"/>
      <c r="L108" s="184"/>
      <c r="M108" s="74"/>
      <c r="N108" s="73"/>
      <c r="O108" s="74"/>
      <c r="P108"/>
      <c r="Q108"/>
      <c r="R108"/>
      <c r="S108"/>
      <c r="T108"/>
    </row>
    <row r="109" spans="1:20" ht="21" customHeight="1">
      <c r="A109" s="33">
        <v>101</v>
      </c>
      <c r="B109" s="63" t="s">
        <v>334</v>
      </c>
      <c r="C109" s="64" t="s">
        <v>339</v>
      </c>
      <c r="D109" s="63" t="s">
        <v>56</v>
      </c>
      <c r="E109" s="65">
        <v>135</v>
      </c>
      <c r="F109" s="81" t="s">
        <v>107</v>
      </c>
      <c r="G109" s="33" t="s">
        <v>137</v>
      </c>
      <c r="H109" s="169">
        <v>144</v>
      </c>
      <c r="I109" s="33" t="s">
        <v>72</v>
      </c>
      <c r="J109" s="168" t="s">
        <v>263</v>
      </c>
      <c r="K109" s="70"/>
      <c r="L109" s="184"/>
      <c r="M109" s="74"/>
      <c r="N109" s="73"/>
      <c r="O109" s="74"/>
      <c r="P109"/>
      <c r="Q109"/>
      <c r="R109"/>
      <c r="S109"/>
      <c r="T109"/>
    </row>
    <row r="110" spans="1:20" ht="21" customHeight="1">
      <c r="A110" s="33">
        <v>102</v>
      </c>
      <c r="B110" s="63" t="s">
        <v>331</v>
      </c>
      <c r="C110" s="64" t="s">
        <v>340</v>
      </c>
      <c r="D110" s="63" t="s">
        <v>56</v>
      </c>
      <c r="E110" s="65">
        <v>109</v>
      </c>
      <c r="F110" s="81" t="s">
        <v>341</v>
      </c>
      <c r="G110" s="33" t="s">
        <v>342</v>
      </c>
      <c r="H110" s="169">
        <v>114</v>
      </c>
      <c r="I110" s="169">
        <v>114</v>
      </c>
      <c r="J110" s="168" t="s">
        <v>307</v>
      </c>
      <c r="K110" s="70"/>
      <c r="L110" s="184"/>
      <c r="M110" s="74"/>
      <c r="N110" s="73"/>
      <c r="O110" s="74"/>
      <c r="P110"/>
      <c r="Q110"/>
      <c r="R110"/>
      <c r="S110"/>
      <c r="T110"/>
    </row>
    <row r="111" spans="1:20" ht="21" customHeight="1">
      <c r="A111" s="33">
        <v>103</v>
      </c>
      <c r="B111" s="63" t="s">
        <v>331</v>
      </c>
      <c r="C111" s="64" t="s">
        <v>343</v>
      </c>
      <c r="D111" s="63" t="s">
        <v>56</v>
      </c>
      <c r="E111" s="79">
        <v>254</v>
      </c>
      <c r="F111" s="190" t="s">
        <v>75</v>
      </c>
      <c r="G111" s="33" t="s">
        <v>251</v>
      </c>
      <c r="H111" s="169">
        <v>271</v>
      </c>
      <c r="I111" s="169">
        <v>271</v>
      </c>
      <c r="J111" s="168" t="s">
        <v>299</v>
      </c>
      <c r="K111" s="70"/>
      <c r="L111" s="184"/>
      <c r="M111" s="74"/>
      <c r="N111" s="73" t="s">
        <v>344</v>
      </c>
      <c r="O111" s="74"/>
      <c r="P111"/>
      <c r="Q111"/>
      <c r="R111"/>
      <c r="S111"/>
      <c r="T111"/>
    </row>
    <row r="112" spans="1:20" ht="21" customHeight="1">
      <c r="A112" s="33">
        <v>104</v>
      </c>
      <c r="B112" s="63" t="s">
        <v>334</v>
      </c>
      <c r="C112" s="64" t="s">
        <v>345</v>
      </c>
      <c r="D112" s="63" t="s">
        <v>56</v>
      </c>
      <c r="E112" s="65">
        <v>57</v>
      </c>
      <c r="F112" s="81" t="s">
        <v>71</v>
      </c>
      <c r="G112" s="33" t="s">
        <v>303</v>
      </c>
      <c r="H112" s="33" t="s">
        <v>346</v>
      </c>
      <c r="I112" s="33" t="s">
        <v>72</v>
      </c>
      <c r="J112" s="168" t="s">
        <v>307</v>
      </c>
      <c r="K112" s="70"/>
      <c r="L112" s="184"/>
      <c r="M112" s="74"/>
      <c r="N112" s="73"/>
      <c r="O112" s="74"/>
      <c r="P112"/>
      <c r="Q112"/>
      <c r="R112"/>
      <c r="S112"/>
      <c r="T112"/>
    </row>
    <row r="113" spans="1:20" ht="21" customHeight="1">
      <c r="A113" s="33">
        <v>105</v>
      </c>
      <c r="B113" s="63" t="s">
        <v>331</v>
      </c>
      <c r="C113" s="64" t="s">
        <v>347</v>
      </c>
      <c r="D113" s="63" t="s">
        <v>56</v>
      </c>
      <c r="E113" s="65">
        <v>49</v>
      </c>
      <c r="F113" s="190" t="s">
        <v>75</v>
      </c>
      <c r="G113" s="33" t="s">
        <v>298</v>
      </c>
      <c r="H113" s="185" t="s">
        <v>285</v>
      </c>
      <c r="I113" s="33" t="s">
        <v>69</v>
      </c>
      <c r="J113" s="168" t="s">
        <v>263</v>
      </c>
      <c r="K113" s="70"/>
      <c r="L113" s="184"/>
      <c r="M113" s="74"/>
      <c r="N113" s="73"/>
      <c r="O113" s="74"/>
      <c r="P113"/>
      <c r="Q113"/>
      <c r="R113"/>
      <c r="S113"/>
      <c r="T113"/>
    </row>
    <row r="114" spans="1:20" ht="21" customHeight="1">
      <c r="A114" s="33">
        <v>106</v>
      </c>
      <c r="B114" s="63" t="s">
        <v>331</v>
      </c>
      <c r="C114" s="64" t="s">
        <v>348</v>
      </c>
      <c r="D114" s="63" t="s">
        <v>56</v>
      </c>
      <c r="E114" s="65">
        <v>147</v>
      </c>
      <c r="F114" s="81" t="s">
        <v>349</v>
      </c>
      <c r="G114" s="169" t="s">
        <v>350</v>
      </c>
      <c r="H114" s="169">
        <v>176</v>
      </c>
      <c r="I114" s="33" t="s">
        <v>286</v>
      </c>
      <c r="J114" s="168" t="s">
        <v>351</v>
      </c>
      <c r="K114" s="70"/>
      <c r="L114" s="151" t="s">
        <v>352</v>
      </c>
      <c r="M114" s="74"/>
      <c r="N114" s="73"/>
      <c r="O114" s="74"/>
      <c r="P114"/>
      <c r="Q114"/>
      <c r="R114"/>
      <c r="S114"/>
      <c r="T114"/>
    </row>
    <row r="115" spans="1:20" ht="21" customHeight="1">
      <c r="A115" s="33">
        <v>107</v>
      </c>
      <c r="B115" s="63" t="s">
        <v>331</v>
      </c>
      <c r="C115" s="64" t="s">
        <v>353</v>
      </c>
      <c r="D115" s="63" t="s">
        <v>77</v>
      </c>
      <c r="E115" s="65">
        <v>145</v>
      </c>
      <c r="F115" s="81" t="s">
        <v>137</v>
      </c>
      <c r="G115" s="33" t="s">
        <v>61</v>
      </c>
      <c r="H115" s="33" t="s">
        <v>69</v>
      </c>
      <c r="I115" s="169">
        <v>152</v>
      </c>
      <c r="J115" s="168" t="s">
        <v>263</v>
      </c>
      <c r="K115" s="70"/>
      <c r="L115" s="201" t="s">
        <v>354</v>
      </c>
      <c r="M115" s="151" t="s">
        <v>355</v>
      </c>
      <c r="N115" s="73"/>
      <c r="O115" s="74"/>
      <c r="P115"/>
      <c r="Q115"/>
      <c r="R115"/>
      <c r="S115"/>
      <c r="T115"/>
    </row>
    <row r="116" spans="1:20" ht="21" customHeight="1">
      <c r="A116" s="85">
        <v>108</v>
      </c>
      <c r="B116" s="123" t="s">
        <v>331</v>
      </c>
      <c r="C116" s="124" t="s">
        <v>356</v>
      </c>
      <c r="D116" s="123" t="s">
        <v>56</v>
      </c>
      <c r="E116" s="125">
        <v>78</v>
      </c>
      <c r="F116" s="202" t="s">
        <v>75</v>
      </c>
      <c r="G116" s="191" t="s">
        <v>357</v>
      </c>
      <c r="H116" s="85" t="s">
        <v>346</v>
      </c>
      <c r="I116" s="191">
        <v>81</v>
      </c>
      <c r="J116" s="173" t="s">
        <v>61</v>
      </c>
      <c r="K116" s="128"/>
      <c r="L116" s="192"/>
      <c r="M116" s="130"/>
      <c r="N116" s="131"/>
      <c r="O116" s="130"/>
      <c r="P116"/>
      <c r="Q116"/>
      <c r="R116"/>
      <c r="S116"/>
      <c r="T116"/>
    </row>
    <row r="117" spans="1:20" ht="21" customHeight="1">
      <c r="A117" s="33"/>
      <c r="B117" s="63"/>
      <c r="C117" s="132" t="s">
        <v>149</v>
      </c>
      <c r="D117" s="133"/>
      <c r="E117" s="134"/>
      <c r="F117" s="135">
        <v>10</v>
      </c>
      <c r="G117" s="135"/>
      <c r="H117" s="135">
        <v>16</v>
      </c>
      <c r="I117" s="135">
        <v>1</v>
      </c>
      <c r="J117" s="135"/>
      <c r="K117" s="74"/>
      <c r="L117" s="184"/>
      <c r="M117" s="74"/>
      <c r="N117" s="73"/>
      <c r="O117" s="74"/>
      <c r="P117"/>
      <c r="Q117"/>
      <c r="R117"/>
      <c r="S117"/>
      <c r="T117"/>
    </row>
    <row r="118" spans="1:20" ht="21" customHeight="1" thickBot="1">
      <c r="A118" s="137"/>
      <c r="B118" s="100"/>
      <c r="C118" s="138" t="s">
        <v>358</v>
      </c>
      <c r="D118" s="139"/>
      <c r="E118" s="140"/>
      <c r="F118" s="141">
        <v>2</v>
      </c>
      <c r="G118" s="141">
        <v>12</v>
      </c>
      <c r="H118" s="141">
        <v>11</v>
      </c>
      <c r="I118" s="141">
        <v>12</v>
      </c>
      <c r="J118" s="141"/>
      <c r="K118" s="109"/>
      <c r="L118" s="203"/>
      <c r="M118" s="109"/>
      <c r="N118" s="110"/>
      <c r="O118" s="109"/>
      <c r="P118"/>
      <c r="Q118"/>
      <c r="R118"/>
      <c r="S118"/>
      <c r="T118"/>
    </row>
    <row r="119" spans="1:20" ht="21" customHeight="1">
      <c r="A119" s="86">
        <v>109</v>
      </c>
      <c r="B119" s="87" t="s">
        <v>359</v>
      </c>
      <c r="C119" s="88" t="s">
        <v>360</v>
      </c>
      <c r="D119" s="87" t="s">
        <v>56</v>
      </c>
      <c r="E119" s="89">
        <v>196</v>
      </c>
      <c r="F119" s="90" t="s">
        <v>361</v>
      </c>
      <c r="G119" s="86" t="s">
        <v>362</v>
      </c>
      <c r="H119" s="91" t="s">
        <v>75</v>
      </c>
      <c r="I119" s="86" t="s">
        <v>72</v>
      </c>
      <c r="J119" s="167"/>
      <c r="K119" s="93"/>
      <c r="L119" s="93"/>
      <c r="M119" s="147"/>
      <c r="N119" s="204"/>
      <c r="O119" s="95"/>
      <c r="P119"/>
      <c r="Q119"/>
      <c r="R119"/>
      <c r="S119"/>
      <c r="T119"/>
    </row>
    <row r="120" spans="1:20" ht="21" customHeight="1">
      <c r="A120" s="33">
        <v>110</v>
      </c>
      <c r="B120" s="63" t="s">
        <v>359</v>
      </c>
      <c r="C120" s="64" t="s">
        <v>363</v>
      </c>
      <c r="D120" s="63" t="s">
        <v>56</v>
      </c>
      <c r="E120" s="65">
        <v>237</v>
      </c>
      <c r="F120" s="81"/>
      <c r="G120" s="171" t="s">
        <v>364</v>
      </c>
      <c r="H120" s="33"/>
      <c r="I120" s="33"/>
      <c r="J120" s="168"/>
      <c r="K120" s="70"/>
      <c r="L120" s="70"/>
      <c r="M120" s="72" t="s">
        <v>365</v>
      </c>
      <c r="N120" s="205" t="s">
        <v>366</v>
      </c>
      <c r="O120" s="74"/>
      <c r="P120"/>
      <c r="Q120"/>
      <c r="R120"/>
      <c r="S120"/>
      <c r="T120"/>
    </row>
    <row r="121" spans="1:20" ht="21" customHeight="1">
      <c r="A121" s="33">
        <v>111</v>
      </c>
      <c r="B121" s="63" t="s">
        <v>359</v>
      </c>
      <c r="C121" s="64" t="s">
        <v>367</v>
      </c>
      <c r="D121" s="63" t="s">
        <v>56</v>
      </c>
      <c r="E121" s="65">
        <v>91</v>
      </c>
      <c r="F121" s="81" t="s">
        <v>268</v>
      </c>
      <c r="G121" s="33" t="s">
        <v>368</v>
      </c>
      <c r="H121" s="33" t="s">
        <v>69</v>
      </c>
      <c r="I121" s="169">
        <v>166</v>
      </c>
      <c r="J121" s="168" t="s">
        <v>61</v>
      </c>
      <c r="K121" s="70"/>
      <c r="L121" s="70"/>
      <c r="M121" s="153"/>
      <c r="N121" s="205"/>
      <c r="O121" s="74"/>
      <c r="P121"/>
      <c r="Q121"/>
      <c r="R121"/>
      <c r="S121"/>
      <c r="T121"/>
    </row>
    <row r="122" spans="1:20" ht="21" customHeight="1">
      <c r="A122" s="33">
        <v>112</v>
      </c>
      <c r="B122" s="63" t="s">
        <v>359</v>
      </c>
      <c r="C122" s="64" t="s">
        <v>369</v>
      </c>
      <c r="D122" s="63" t="s">
        <v>56</v>
      </c>
      <c r="E122" s="79">
        <v>476</v>
      </c>
      <c r="F122" s="81" t="s">
        <v>370</v>
      </c>
      <c r="G122" s="33" t="s">
        <v>101</v>
      </c>
      <c r="H122" s="33" t="s">
        <v>371</v>
      </c>
      <c r="I122" s="33" t="s">
        <v>93</v>
      </c>
      <c r="J122" s="168" t="s">
        <v>145</v>
      </c>
      <c r="K122" s="206"/>
      <c r="L122" s="206"/>
      <c r="M122" s="153"/>
      <c r="N122" s="205" t="s">
        <v>372</v>
      </c>
      <c r="O122" s="74"/>
      <c r="P122"/>
      <c r="Q122"/>
      <c r="R122"/>
      <c r="S122"/>
      <c r="T122"/>
    </row>
    <row r="123" spans="1:20" ht="21" customHeight="1">
      <c r="A123" s="33">
        <v>113</v>
      </c>
      <c r="B123" s="63" t="s">
        <v>359</v>
      </c>
      <c r="C123" s="64" t="s">
        <v>373</v>
      </c>
      <c r="D123" s="63" t="s">
        <v>77</v>
      </c>
      <c r="E123" s="65">
        <v>89</v>
      </c>
      <c r="F123" s="81" t="s">
        <v>119</v>
      </c>
      <c r="G123" s="33" t="s">
        <v>374</v>
      </c>
      <c r="H123" s="33" t="s">
        <v>371</v>
      </c>
      <c r="I123" s="33" t="s">
        <v>93</v>
      </c>
      <c r="J123" s="170">
        <v>161</v>
      </c>
      <c r="K123" s="206"/>
      <c r="L123" s="206"/>
      <c r="M123" s="153"/>
      <c r="N123" s="205"/>
      <c r="O123" s="74"/>
      <c r="P123"/>
      <c r="Q123"/>
      <c r="R123"/>
      <c r="S123"/>
      <c r="T123"/>
    </row>
    <row r="124" spans="1:20" ht="21" customHeight="1">
      <c r="A124" s="33">
        <v>114</v>
      </c>
      <c r="B124" s="63" t="s">
        <v>359</v>
      </c>
      <c r="C124" s="64" t="s">
        <v>375</v>
      </c>
      <c r="D124" s="63" t="s">
        <v>77</v>
      </c>
      <c r="E124" s="79">
        <v>278</v>
      </c>
      <c r="F124" s="81" t="s">
        <v>376</v>
      </c>
      <c r="G124" s="33" t="s">
        <v>371</v>
      </c>
      <c r="H124" s="78" t="s">
        <v>75</v>
      </c>
      <c r="I124" s="78" t="s">
        <v>285</v>
      </c>
      <c r="J124" s="168"/>
      <c r="K124" s="206"/>
      <c r="L124" s="206"/>
      <c r="M124" s="153"/>
      <c r="N124" s="205"/>
      <c r="O124" s="74"/>
      <c r="P124"/>
      <c r="Q124"/>
      <c r="R124"/>
      <c r="S124"/>
      <c r="T124"/>
    </row>
    <row r="125" spans="1:20" ht="21" customHeight="1">
      <c r="A125" s="33">
        <v>115</v>
      </c>
      <c r="B125" s="63" t="s">
        <v>359</v>
      </c>
      <c r="C125" s="64" t="s">
        <v>377</v>
      </c>
      <c r="D125" s="63" t="s">
        <v>77</v>
      </c>
      <c r="E125" s="65">
        <v>181</v>
      </c>
      <c r="F125" s="207" t="s">
        <v>378</v>
      </c>
      <c r="G125" s="33" t="s">
        <v>98</v>
      </c>
      <c r="H125" s="169">
        <v>185</v>
      </c>
      <c r="I125" s="33" t="s">
        <v>72</v>
      </c>
      <c r="J125" s="168"/>
      <c r="K125" s="206"/>
      <c r="L125" s="206"/>
      <c r="M125" s="153"/>
      <c r="N125" s="205"/>
      <c r="O125" s="74"/>
      <c r="P125"/>
      <c r="Q125"/>
      <c r="R125"/>
      <c r="S125"/>
      <c r="T125"/>
    </row>
    <row r="126" spans="1:20" ht="21" customHeight="1">
      <c r="A126" s="33">
        <v>116</v>
      </c>
      <c r="B126" s="63" t="s">
        <v>359</v>
      </c>
      <c r="C126" s="64" t="s">
        <v>379</v>
      </c>
      <c r="D126" s="63" t="s">
        <v>77</v>
      </c>
      <c r="E126" s="65">
        <v>168</v>
      </c>
      <c r="F126" s="81" t="s">
        <v>137</v>
      </c>
      <c r="G126" s="33" t="s">
        <v>119</v>
      </c>
      <c r="H126" s="78" t="s">
        <v>75</v>
      </c>
      <c r="I126" s="33" t="s">
        <v>98</v>
      </c>
      <c r="J126" s="170">
        <v>165</v>
      </c>
      <c r="K126" s="206"/>
      <c r="L126" s="206"/>
      <c r="M126" s="153"/>
      <c r="N126" s="205"/>
      <c r="O126" s="74"/>
      <c r="P126"/>
      <c r="Q126"/>
      <c r="R126"/>
      <c r="S126"/>
      <c r="T126"/>
    </row>
    <row r="127" spans="1:20" ht="21" customHeight="1">
      <c r="A127" s="33">
        <v>117</v>
      </c>
      <c r="B127" s="63" t="s">
        <v>380</v>
      </c>
      <c r="C127" s="64" t="s">
        <v>381</v>
      </c>
      <c r="D127" s="63" t="s">
        <v>56</v>
      </c>
      <c r="E127" s="65">
        <v>154</v>
      </c>
      <c r="F127" s="207" t="s">
        <v>382</v>
      </c>
      <c r="G127" s="33" t="s">
        <v>383</v>
      </c>
      <c r="H127" s="33" t="s">
        <v>85</v>
      </c>
      <c r="I127" s="33" t="s">
        <v>384</v>
      </c>
      <c r="J127" s="168"/>
      <c r="K127" s="206"/>
      <c r="L127" s="206"/>
      <c r="M127" s="153"/>
      <c r="N127" s="205"/>
      <c r="O127" s="74"/>
      <c r="P127"/>
      <c r="Q127"/>
      <c r="R127"/>
      <c r="S127"/>
      <c r="T127"/>
    </row>
    <row r="128" spans="1:20" ht="21" customHeight="1" thickBot="1">
      <c r="A128" s="85">
        <v>118</v>
      </c>
      <c r="B128" s="123" t="s">
        <v>359</v>
      </c>
      <c r="C128" s="124" t="s">
        <v>385</v>
      </c>
      <c r="D128" s="123" t="s">
        <v>77</v>
      </c>
      <c r="E128" s="125">
        <v>254</v>
      </c>
      <c r="F128" s="208" t="s">
        <v>386</v>
      </c>
      <c r="G128" s="191" t="s">
        <v>387</v>
      </c>
      <c r="H128" s="157" t="s">
        <v>285</v>
      </c>
      <c r="I128" s="191">
        <v>156</v>
      </c>
      <c r="J128" s="173"/>
      <c r="K128" s="209"/>
      <c r="L128" s="209"/>
      <c r="M128" s="159"/>
      <c r="N128" s="210"/>
      <c r="O128" s="130"/>
      <c r="P128"/>
      <c r="Q128"/>
      <c r="R128"/>
      <c r="S128"/>
      <c r="T128"/>
    </row>
    <row r="129" spans="1:20" ht="21" customHeight="1">
      <c r="A129" s="86">
        <v>119</v>
      </c>
      <c r="B129" s="87" t="s">
        <v>388</v>
      </c>
      <c r="C129" s="88" t="s">
        <v>389</v>
      </c>
      <c r="D129" s="87" t="s">
        <v>56</v>
      </c>
      <c r="E129" s="89">
        <v>127</v>
      </c>
      <c r="F129" s="90" t="s">
        <v>93</v>
      </c>
      <c r="G129" s="86" t="s">
        <v>127</v>
      </c>
      <c r="H129" s="193">
        <v>155</v>
      </c>
      <c r="I129" s="86" t="s">
        <v>390</v>
      </c>
      <c r="J129" s="167"/>
      <c r="K129" s="211"/>
      <c r="L129" s="211"/>
      <c r="M129" s="147"/>
      <c r="N129" s="204"/>
      <c r="O129" s="95"/>
      <c r="P129"/>
      <c r="Q129"/>
      <c r="R129"/>
      <c r="S129"/>
      <c r="T129"/>
    </row>
    <row r="130" spans="1:20" ht="21" customHeight="1">
      <c r="A130" s="33">
        <v>120</v>
      </c>
      <c r="B130" s="63" t="s">
        <v>391</v>
      </c>
      <c r="C130" s="64" t="s">
        <v>392</v>
      </c>
      <c r="D130" s="63" t="s">
        <v>56</v>
      </c>
      <c r="E130" s="65">
        <v>175</v>
      </c>
      <c r="F130" s="81" t="s">
        <v>93</v>
      </c>
      <c r="G130" s="33" t="s">
        <v>123</v>
      </c>
      <c r="H130" s="97" t="s">
        <v>393</v>
      </c>
      <c r="I130" s="33" t="s">
        <v>99</v>
      </c>
      <c r="J130" s="168" t="s">
        <v>307</v>
      </c>
      <c r="K130" s="206"/>
      <c r="L130" s="206"/>
      <c r="M130" s="153"/>
      <c r="N130" s="205"/>
      <c r="O130" s="74"/>
      <c r="P130"/>
      <c r="Q130"/>
      <c r="R130"/>
      <c r="S130"/>
      <c r="T130"/>
    </row>
    <row r="131" spans="1:20" ht="21" customHeight="1">
      <c r="A131" s="33">
        <v>121</v>
      </c>
      <c r="B131" s="63" t="s">
        <v>388</v>
      </c>
      <c r="C131" s="64" t="s">
        <v>394</v>
      </c>
      <c r="D131" s="63" t="s">
        <v>56</v>
      </c>
      <c r="E131" s="65">
        <v>145</v>
      </c>
      <c r="F131" s="81" t="s">
        <v>93</v>
      </c>
      <c r="G131" s="33" t="s">
        <v>93</v>
      </c>
      <c r="H131" s="169">
        <v>169</v>
      </c>
      <c r="I131" s="33" t="s">
        <v>390</v>
      </c>
      <c r="J131" s="168" t="s">
        <v>395</v>
      </c>
      <c r="K131" s="206"/>
      <c r="L131" s="206"/>
      <c r="M131" s="153"/>
      <c r="N131" s="205"/>
      <c r="O131" s="74"/>
      <c r="P131"/>
      <c r="Q131"/>
      <c r="R131"/>
      <c r="S131"/>
      <c r="T131"/>
    </row>
    <row r="132" spans="1:20" ht="21" customHeight="1">
      <c r="A132" s="33">
        <v>122</v>
      </c>
      <c r="B132" s="63" t="s">
        <v>391</v>
      </c>
      <c r="C132" s="64" t="s">
        <v>396</v>
      </c>
      <c r="D132" s="63" t="s">
        <v>77</v>
      </c>
      <c r="E132" s="65">
        <v>152</v>
      </c>
      <c r="F132" s="81" t="s">
        <v>109</v>
      </c>
      <c r="G132" s="33" t="s">
        <v>85</v>
      </c>
      <c r="H132" s="169">
        <v>166</v>
      </c>
      <c r="I132" s="33" t="s">
        <v>371</v>
      </c>
      <c r="J132" s="168"/>
      <c r="K132" s="206"/>
      <c r="L132" s="206"/>
      <c r="M132" s="153"/>
      <c r="N132" s="205"/>
      <c r="O132" s="74"/>
      <c r="P132"/>
      <c r="Q132"/>
      <c r="R132"/>
      <c r="S132"/>
      <c r="T132"/>
    </row>
    <row r="133" spans="1:20" ht="21" customHeight="1">
      <c r="A133" s="33">
        <v>123</v>
      </c>
      <c r="B133" s="63" t="s">
        <v>391</v>
      </c>
      <c r="C133" s="64" t="s">
        <v>397</v>
      </c>
      <c r="D133" s="63" t="s">
        <v>77</v>
      </c>
      <c r="E133" s="65">
        <v>154</v>
      </c>
      <c r="F133" s="81"/>
      <c r="G133" s="33"/>
      <c r="H133" s="33"/>
      <c r="I133" s="33"/>
      <c r="J133" s="168"/>
      <c r="K133" s="206"/>
      <c r="L133" s="206"/>
      <c r="M133" s="153"/>
      <c r="N133" s="205"/>
      <c r="O133" s="74"/>
      <c r="P133"/>
      <c r="Q133"/>
      <c r="R133"/>
      <c r="S133"/>
      <c r="T133"/>
    </row>
    <row r="134" spans="1:20" ht="21" customHeight="1">
      <c r="A134" s="33">
        <v>124</v>
      </c>
      <c r="B134" s="63" t="s">
        <v>391</v>
      </c>
      <c r="C134" s="64" t="s">
        <v>398</v>
      </c>
      <c r="D134" s="63" t="s">
        <v>56</v>
      </c>
      <c r="E134" s="65">
        <v>85</v>
      </c>
      <c r="F134" s="81" t="s">
        <v>258</v>
      </c>
      <c r="G134" s="33" t="s">
        <v>168</v>
      </c>
      <c r="H134" s="33" t="s">
        <v>286</v>
      </c>
      <c r="I134" s="169">
        <v>127</v>
      </c>
      <c r="J134" s="168" t="s">
        <v>351</v>
      </c>
      <c r="K134" s="206"/>
      <c r="L134" s="206"/>
      <c r="M134" s="153"/>
      <c r="N134" s="205"/>
      <c r="O134" s="74"/>
      <c r="P134"/>
      <c r="Q134"/>
      <c r="R134"/>
      <c r="S134"/>
      <c r="T134"/>
    </row>
    <row r="135" spans="1:20" ht="21" customHeight="1">
      <c r="A135" s="33">
        <v>125</v>
      </c>
      <c r="B135" s="63" t="s">
        <v>391</v>
      </c>
      <c r="C135" s="64" t="s">
        <v>399</v>
      </c>
      <c r="D135" s="63" t="s">
        <v>56</v>
      </c>
      <c r="E135" s="79">
        <v>298</v>
      </c>
      <c r="F135" s="172" t="s">
        <v>400</v>
      </c>
      <c r="G135" s="171" t="s">
        <v>401</v>
      </c>
      <c r="H135" s="78" t="s">
        <v>75</v>
      </c>
      <c r="I135" s="33" t="s">
        <v>72</v>
      </c>
      <c r="J135" s="168"/>
      <c r="K135" s="206"/>
      <c r="L135" s="206"/>
      <c r="M135" s="72" t="s">
        <v>402</v>
      </c>
      <c r="N135" s="205"/>
      <c r="O135" s="74"/>
      <c r="P135"/>
      <c r="Q135"/>
      <c r="R135"/>
      <c r="S135"/>
      <c r="T135"/>
    </row>
    <row r="136" spans="1:20" ht="21" customHeight="1">
      <c r="A136" s="33">
        <v>126</v>
      </c>
      <c r="B136" s="63" t="s">
        <v>391</v>
      </c>
      <c r="C136" s="64" t="s">
        <v>403</v>
      </c>
      <c r="D136" s="63" t="s">
        <v>56</v>
      </c>
      <c r="E136" s="79">
        <v>385</v>
      </c>
      <c r="F136" s="207" t="s">
        <v>404</v>
      </c>
      <c r="G136" s="33" t="s">
        <v>405</v>
      </c>
      <c r="H136" s="33" t="s">
        <v>406</v>
      </c>
      <c r="I136" s="33" t="s">
        <v>72</v>
      </c>
      <c r="J136" s="168"/>
      <c r="K136" s="206"/>
      <c r="L136" s="206"/>
      <c r="M136" s="153"/>
      <c r="N136" s="205"/>
      <c r="O136" s="74"/>
      <c r="P136"/>
      <c r="Q136"/>
      <c r="R136"/>
      <c r="S136"/>
      <c r="T136"/>
    </row>
    <row r="137" spans="1:20" ht="21" customHeight="1">
      <c r="A137" s="33">
        <v>127</v>
      </c>
      <c r="B137" s="63" t="s">
        <v>391</v>
      </c>
      <c r="C137" s="64" t="s">
        <v>407</v>
      </c>
      <c r="D137" s="63" t="s">
        <v>56</v>
      </c>
      <c r="E137" s="65">
        <v>167</v>
      </c>
      <c r="F137" s="81" t="s">
        <v>251</v>
      </c>
      <c r="G137" s="33" t="s">
        <v>368</v>
      </c>
      <c r="H137" s="78" t="s">
        <v>285</v>
      </c>
      <c r="I137" s="33" t="s">
        <v>69</v>
      </c>
      <c r="J137" s="168"/>
      <c r="K137" s="206"/>
      <c r="L137" s="206"/>
      <c r="M137" s="153"/>
      <c r="N137" s="205"/>
      <c r="O137" s="74"/>
      <c r="P137"/>
      <c r="Q137"/>
      <c r="R137"/>
      <c r="S137"/>
      <c r="T137"/>
    </row>
    <row r="138" spans="1:20" ht="21" customHeight="1">
      <c r="A138" s="33">
        <v>128</v>
      </c>
      <c r="B138" s="63" t="s">
        <v>391</v>
      </c>
      <c r="C138" s="64" t="s">
        <v>408</v>
      </c>
      <c r="D138" s="63" t="s">
        <v>77</v>
      </c>
      <c r="E138" s="65">
        <v>87</v>
      </c>
      <c r="F138" s="81" t="s">
        <v>206</v>
      </c>
      <c r="G138" s="33" t="s">
        <v>368</v>
      </c>
      <c r="H138" s="33" t="s">
        <v>127</v>
      </c>
      <c r="I138" s="33" t="s">
        <v>99</v>
      </c>
      <c r="J138" s="170">
        <v>87</v>
      </c>
      <c r="K138" s="206"/>
      <c r="L138" s="206"/>
      <c r="M138" s="153"/>
      <c r="N138" s="205"/>
      <c r="O138" s="74"/>
      <c r="P138"/>
      <c r="Q138"/>
      <c r="R138"/>
      <c r="S138"/>
      <c r="T138"/>
    </row>
    <row r="139" spans="1:20" ht="21" customHeight="1">
      <c r="A139" s="33">
        <v>129</v>
      </c>
      <c r="B139" s="63" t="s">
        <v>391</v>
      </c>
      <c r="C139" s="64" t="s">
        <v>409</v>
      </c>
      <c r="D139" s="63" t="s">
        <v>56</v>
      </c>
      <c r="E139" s="65">
        <v>155</v>
      </c>
      <c r="F139" s="81" t="s">
        <v>98</v>
      </c>
      <c r="G139" s="33" t="s">
        <v>93</v>
      </c>
      <c r="H139" s="33" t="s">
        <v>109</v>
      </c>
      <c r="I139" s="78" t="s">
        <v>285</v>
      </c>
      <c r="J139" s="168"/>
      <c r="K139" s="206"/>
      <c r="L139" s="206"/>
      <c r="M139" s="153"/>
      <c r="N139" s="205"/>
      <c r="O139" s="74"/>
      <c r="P139"/>
      <c r="Q139"/>
      <c r="R139"/>
      <c r="S139"/>
      <c r="T139"/>
    </row>
    <row r="140" spans="1:20" ht="21" customHeight="1">
      <c r="A140" s="33">
        <v>130</v>
      </c>
      <c r="B140" s="63" t="s">
        <v>388</v>
      </c>
      <c r="C140" s="64" t="s">
        <v>410</v>
      </c>
      <c r="D140" s="63" t="s">
        <v>56</v>
      </c>
      <c r="E140" s="65">
        <v>181</v>
      </c>
      <c r="F140" s="81" t="s">
        <v>93</v>
      </c>
      <c r="G140" s="33" t="s">
        <v>371</v>
      </c>
      <c r="H140" s="78" t="s">
        <v>285</v>
      </c>
      <c r="I140" s="33" t="s">
        <v>315</v>
      </c>
      <c r="J140" s="168"/>
      <c r="K140" s="206"/>
      <c r="L140" s="206"/>
      <c r="M140" s="153"/>
      <c r="N140" s="205"/>
      <c r="O140" s="74"/>
      <c r="P140"/>
      <c r="Q140"/>
      <c r="R140"/>
      <c r="S140"/>
      <c r="T140"/>
    </row>
    <row r="141" spans="1:20" ht="21" customHeight="1">
      <c r="A141" s="33">
        <v>131</v>
      </c>
      <c r="B141" s="63" t="s">
        <v>388</v>
      </c>
      <c r="C141" s="64" t="s">
        <v>411</v>
      </c>
      <c r="D141" s="63" t="s">
        <v>56</v>
      </c>
      <c r="E141" s="79">
        <v>389</v>
      </c>
      <c r="F141" s="81" t="s">
        <v>206</v>
      </c>
      <c r="G141" s="33" t="s">
        <v>412</v>
      </c>
      <c r="H141" s="169">
        <v>392</v>
      </c>
      <c r="I141" s="33" t="s">
        <v>315</v>
      </c>
      <c r="J141" s="168"/>
      <c r="K141" s="212"/>
      <c r="L141" s="212" t="s">
        <v>413</v>
      </c>
      <c r="M141" s="153"/>
      <c r="N141" s="205"/>
      <c r="O141" s="74"/>
      <c r="P141"/>
      <c r="Q141"/>
      <c r="R141"/>
      <c r="S141"/>
      <c r="T141"/>
    </row>
    <row r="142" spans="1:20" ht="21" customHeight="1">
      <c r="A142" s="33">
        <v>132</v>
      </c>
      <c r="B142" s="63" t="s">
        <v>391</v>
      </c>
      <c r="C142" s="64" t="s">
        <v>414</v>
      </c>
      <c r="D142" s="63" t="s">
        <v>56</v>
      </c>
      <c r="E142" s="79">
        <v>481</v>
      </c>
      <c r="F142" s="81" t="s">
        <v>415</v>
      </c>
      <c r="G142" s="33" t="s">
        <v>415</v>
      </c>
      <c r="H142" s="169">
        <v>398</v>
      </c>
      <c r="I142" s="33" t="s">
        <v>145</v>
      </c>
      <c r="J142" s="168"/>
      <c r="K142" s="206"/>
      <c r="L142" s="206"/>
      <c r="M142" s="153"/>
      <c r="N142" s="205" t="s">
        <v>416</v>
      </c>
      <c r="O142" s="74"/>
      <c r="P142"/>
      <c r="Q142"/>
      <c r="R142"/>
      <c r="S142"/>
      <c r="T142"/>
    </row>
    <row r="143" spans="1:20" ht="21" customHeight="1">
      <c r="A143" s="33">
        <v>133</v>
      </c>
      <c r="B143" s="63" t="s">
        <v>391</v>
      </c>
      <c r="C143" s="64" t="s">
        <v>417</v>
      </c>
      <c r="D143" s="63" t="s">
        <v>77</v>
      </c>
      <c r="E143" s="79">
        <v>341</v>
      </c>
      <c r="F143" s="84" t="s">
        <v>75</v>
      </c>
      <c r="G143" s="33" t="s">
        <v>123</v>
      </c>
      <c r="H143" s="78" t="s">
        <v>75</v>
      </c>
      <c r="I143" s="33" t="s">
        <v>98</v>
      </c>
      <c r="J143" s="168"/>
      <c r="K143" s="206"/>
      <c r="L143" s="206"/>
      <c r="M143" s="153"/>
      <c r="N143" s="205"/>
      <c r="O143" s="74"/>
      <c r="P143"/>
      <c r="Q143"/>
      <c r="R143"/>
      <c r="S143"/>
      <c r="T143"/>
    </row>
    <row r="144" spans="1:20" ht="21" customHeight="1">
      <c r="A144" s="85">
        <v>134</v>
      </c>
      <c r="B144" s="123" t="s">
        <v>391</v>
      </c>
      <c r="C144" s="124" t="s">
        <v>418</v>
      </c>
      <c r="D144" s="123" t="s">
        <v>56</v>
      </c>
      <c r="E144" s="125">
        <v>228</v>
      </c>
      <c r="F144" s="213" t="s">
        <v>75</v>
      </c>
      <c r="G144" s="85" t="s">
        <v>85</v>
      </c>
      <c r="H144" s="191">
        <v>286</v>
      </c>
      <c r="I144" s="85" t="s">
        <v>72</v>
      </c>
      <c r="J144" s="173"/>
      <c r="K144" s="209"/>
      <c r="L144" s="209"/>
      <c r="M144" s="159"/>
      <c r="N144" s="214"/>
      <c r="O144" s="130"/>
      <c r="P144"/>
      <c r="Q144"/>
      <c r="R144"/>
      <c r="S144"/>
      <c r="T144"/>
    </row>
    <row r="145" spans="1:20" ht="21" customHeight="1">
      <c r="A145" s="33"/>
      <c r="B145" s="63"/>
      <c r="C145" s="132" t="s">
        <v>149</v>
      </c>
      <c r="D145" s="133"/>
      <c r="E145" s="134"/>
      <c r="F145" s="163">
        <v>2</v>
      </c>
      <c r="G145" s="135"/>
      <c r="H145" s="135">
        <v>8</v>
      </c>
      <c r="I145" s="135">
        <v>2</v>
      </c>
      <c r="J145" s="135"/>
      <c r="K145" s="184"/>
      <c r="L145" s="184"/>
      <c r="M145" s="153"/>
      <c r="N145" s="205"/>
      <c r="O145" s="74"/>
      <c r="P145"/>
      <c r="Q145"/>
      <c r="R145"/>
      <c r="S145"/>
      <c r="T145"/>
    </row>
    <row r="146" spans="1:20" ht="21" customHeight="1" thickBot="1">
      <c r="A146" s="137"/>
      <c r="B146" s="100"/>
      <c r="C146" s="138" t="s">
        <v>150</v>
      </c>
      <c r="D146" s="139"/>
      <c r="E146" s="140"/>
      <c r="F146" s="164">
        <v>4</v>
      </c>
      <c r="G146" s="141">
        <v>3</v>
      </c>
      <c r="H146" s="141">
        <v>8</v>
      </c>
      <c r="I146" s="141">
        <v>3</v>
      </c>
      <c r="J146" s="141">
        <v>3</v>
      </c>
      <c r="K146" s="203"/>
      <c r="L146" s="203"/>
      <c r="M146" s="165"/>
      <c r="N146" s="215"/>
      <c r="O146" s="109"/>
      <c r="P146"/>
      <c r="Q146"/>
      <c r="R146"/>
      <c r="S146"/>
      <c r="T146"/>
    </row>
    <row r="147" spans="1:20" ht="21" customHeight="1">
      <c r="A147" s="86">
        <v>135</v>
      </c>
      <c r="B147" s="87" t="s">
        <v>419</v>
      </c>
      <c r="C147" s="88" t="s">
        <v>420</v>
      </c>
      <c r="D147" s="87" t="s">
        <v>77</v>
      </c>
      <c r="E147" s="89">
        <v>80</v>
      </c>
      <c r="F147" s="90" t="s">
        <v>258</v>
      </c>
      <c r="G147" s="86" t="s">
        <v>368</v>
      </c>
      <c r="H147" s="91" t="s">
        <v>285</v>
      </c>
      <c r="I147" s="86" t="s">
        <v>113</v>
      </c>
      <c r="J147" s="167" t="s">
        <v>351</v>
      </c>
      <c r="K147" s="211"/>
      <c r="L147" s="211"/>
      <c r="M147" s="93"/>
      <c r="N147" s="216"/>
      <c r="O147" s="95"/>
      <c r="P147"/>
      <c r="Q147"/>
      <c r="R147"/>
      <c r="S147"/>
      <c r="T147"/>
    </row>
    <row r="148" spans="1:20" ht="21" customHeight="1">
      <c r="A148" s="33">
        <v>136</v>
      </c>
      <c r="B148" s="63" t="s">
        <v>419</v>
      </c>
      <c r="C148" s="64" t="s">
        <v>421</v>
      </c>
      <c r="D148" s="63" t="s">
        <v>77</v>
      </c>
      <c r="E148" s="65">
        <v>94</v>
      </c>
      <c r="F148" s="81" t="s">
        <v>422</v>
      </c>
      <c r="G148" s="169" t="s">
        <v>423</v>
      </c>
      <c r="H148" s="33" t="s">
        <v>98</v>
      </c>
      <c r="I148" s="33" t="s">
        <v>370</v>
      </c>
      <c r="J148" s="168"/>
      <c r="K148" s="206"/>
      <c r="L148" s="206"/>
      <c r="M148" s="70"/>
      <c r="N148" s="217" t="s">
        <v>424</v>
      </c>
      <c r="O148" s="74"/>
      <c r="P148"/>
      <c r="Q148"/>
      <c r="R148"/>
      <c r="S148"/>
      <c r="T148"/>
    </row>
    <row r="149" spans="1:20" ht="21" customHeight="1">
      <c r="A149" s="33">
        <v>137</v>
      </c>
      <c r="B149" s="63" t="s">
        <v>419</v>
      </c>
      <c r="C149" s="64" t="s">
        <v>425</v>
      </c>
      <c r="D149" s="63" t="s">
        <v>77</v>
      </c>
      <c r="E149" s="65">
        <v>126</v>
      </c>
      <c r="F149" s="84" t="s">
        <v>285</v>
      </c>
      <c r="G149" s="78" t="s">
        <v>285</v>
      </c>
      <c r="H149" s="33" t="s">
        <v>415</v>
      </c>
      <c r="I149" s="33" t="s">
        <v>98</v>
      </c>
      <c r="J149" s="168" t="s">
        <v>426</v>
      </c>
      <c r="K149" s="206"/>
      <c r="L149" s="206"/>
      <c r="M149" s="70"/>
      <c r="N149" s="217"/>
      <c r="O149" s="74"/>
      <c r="P149"/>
      <c r="Q149"/>
      <c r="R149"/>
      <c r="S149"/>
      <c r="T149"/>
    </row>
    <row r="150" spans="1:20" ht="21" customHeight="1">
      <c r="A150" s="33">
        <v>138</v>
      </c>
      <c r="B150" s="63" t="s">
        <v>419</v>
      </c>
      <c r="C150" s="64" t="s">
        <v>427</v>
      </c>
      <c r="D150" s="63" t="s">
        <v>77</v>
      </c>
      <c r="E150" s="65">
        <v>89</v>
      </c>
      <c r="F150" s="81" t="s">
        <v>93</v>
      </c>
      <c r="G150" s="169" t="s">
        <v>428</v>
      </c>
      <c r="H150" s="78" t="s">
        <v>75</v>
      </c>
      <c r="I150" s="33" t="s">
        <v>371</v>
      </c>
      <c r="J150" s="168"/>
      <c r="K150" s="206"/>
      <c r="L150" s="206"/>
      <c r="M150" s="70"/>
      <c r="N150" s="217"/>
      <c r="O150" s="74"/>
      <c r="P150"/>
      <c r="Q150"/>
      <c r="R150"/>
      <c r="S150"/>
      <c r="T150"/>
    </row>
    <row r="151" spans="1:20" ht="21" customHeight="1">
      <c r="A151" s="33">
        <v>139</v>
      </c>
      <c r="B151" s="63" t="s">
        <v>429</v>
      </c>
      <c r="C151" s="124" t="s">
        <v>430</v>
      </c>
      <c r="D151" s="123"/>
      <c r="E151" s="65"/>
      <c r="F151" s="126"/>
      <c r="G151" s="191" t="s">
        <v>431</v>
      </c>
      <c r="H151" s="85"/>
      <c r="I151" s="85"/>
      <c r="J151" s="173"/>
      <c r="K151" s="206"/>
      <c r="L151" s="206"/>
      <c r="M151" s="128"/>
      <c r="N151" s="218"/>
      <c r="O151" s="130"/>
      <c r="P151"/>
      <c r="Q151"/>
      <c r="R151"/>
      <c r="S151"/>
      <c r="T151"/>
    </row>
    <row r="152" spans="1:20" ht="21" customHeight="1" thickBot="1">
      <c r="A152" s="85">
        <v>140</v>
      </c>
      <c r="B152" s="123" t="s">
        <v>419</v>
      </c>
      <c r="C152" s="124" t="s">
        <v>432</v>
      </c>
      <c r="D152" s="123" t="s">
        <v>56</v>
      </c>
      <c r="E152" s="125">
        <v>123</v>
      </c>
      <c r="F152" s="126" t="s">
        <v>93</v>
      </c>
      <c r="G152" s="85" t="s">
        <v>93</v>
      </c>
      <c r="H152" s="157" t="s">
        <v>75</v>
      </c>
      <c r="I152" s="191">
        <v>110</v>
      </c>
      <c r="J152" s="173"/>
      <c r="K152" s="209"/>
      <c r="L152" s="209"/>
      <c r="M152" s="128"/>
      <c r="N152" s="218"/>
      <c r="O152" s="130"/>
      <c r="P152"/>
      <c r="Q152"/>
      <c r="R152"/>
      <c r="S152"/>
      <c r="T152"/>
    </row>
    <row r="153" spans="1:20" ht="21" customHeight="1">
      <c r="A153" s="86">
        <v>141</v>
      </c>
      <c r="B153" s="87" t="s">
        <v>433</v>
      </c>
      <c r="C153" s="88" t="s">
        <v>434</v>
      </c>
      <c r="D153" s="87" t="s">
        <v>77</v>
      </c>
      <c r="E153" s="89">
        <v>121</v>
      </c>
      <c r="F153" s="160" t="s">
        <v>285</v>
      </c>
      <c r="G153" s="86" t="s">
        <v>368</v>
      </c>
      <c r="H153" s="91" t="s">
        <v>75</v>
      </c>
      <c r="I153" s="86" t="s">
        <v>371</v>
      </c>
      <c r="J153" s="219">
        <v>131</v>
      </c>
      <c r="K153" s="211"/>
      <c r="L153" s="211"/>
      <c r="M153" s="93"/>
      <c r="N153" s="216"/>
      <c r="O153" s="95"/>
      <c r="P153"/>
      <c r="Q153"/>
      <c r="R153"/>
      <c r="S153"/>
      <c r="T153"/>
    </row>
    <row r="154" spans="1:20" ht="21" customHeight="1">
      <c r="A154" s="33">
        <v>142</v>
      </c>
      <c r="B154" s="63" t="s">
        <v>435</v>
      </c>
      <c r="C154" s="64" t="s">
        <v>436</v>
      </c>
      <c r="D154" s="63" t="s">
        <v>56</v>
      </c>
      <c r="E154" s="65">
        <v>76</v>
      </c>
      <c r="F154" s="84" t="s">
        <v>75</v>
      </c>
      <c r="G154" s="33" t="s">
        <v>437</v>
      </c>
      <c r="H154" s="78" t="s">
        <v>75</v>
      </c>
      <c r="I154" s="33" t="s">
        <v>260</v>
      </c>
      <c r="J154" s="168"/>
      <c r="K154" s="206"/>
      <c r="L154" s="206"/>
      <c r="M154" s="70"/>
      <c r="N154" s="217"/>
      <c r="O154" s="74"/>
      <c r="P154"/>
      <c r="Q154"/>
      <c r="R154"/>
      <c r="S154"/>
      <c r="T154"/>
    </row>
    <row r="155" spans="1:20" ht="21" customHeight="1">
      <c r="A155" s="33">
        <v>143</v>
      </c>
      <c r="B155" s="63" t="s">
        <v>433</v>
      </c>
      <c r="C155" s="64" t="s">
        <v>438</v>
      </c>
      <c r="D155" s="63" t="s">
        <v>56</v>
      </c>
      <c r="E155" s="65">
        <v>70</v>
      </c>
      <c r="F155" s="81" t="s">
        <v>386</v>
      </c>
      <c r="G155" s="33" t="s">
        <v>233</v>
      </c>
      <c r="H155" s="78" t="s">
        <v>75</v>
      </c>
      <c r="I155" s="33" t="s">
        <v>93</v>
      </c>
      <c r="J155" s="168" t="s">
        <v>439</v>
      </c>
      <c r="K155" s="206"/>
      <c r="L155" s="206"/>
      <c r="M155" s="70"/>
      <c r="N155" s="217" t="s">
        <v>440</v>
      </c>
      <c r="O155" s="74"/>
      <c r="P155"/>
      <c r="Q155"/>
      <c r="R155"/>
      <c r="S155"/>
      <c r="T155"/>
    </row>
    <row r="156" spans="1:20" ht="21" customHeight="1" thickBot="1">
      <c r="A156" s="85">
        <v>144</v>
      </c>
      <c r="B156" s="123" t="s">
        <v>433</v>
      </c>
      <c r="C156" s="124" t="s">
        <v>441</v>
      </c>
      <c r="D156" s="123" t="s">
        <v>77</v>
      </c>
      <c r="E156" s="125">
        <v>59</v>
      </c>
      <c r="F156" s="126"/>
      <c r="G156" s="85"/>
      <c r="H156" s="85"/>
      <c r="I156" s="85"/>
      <c r="J156" s="173"/>
      <c r="K156" s="209"/>
      <c r="L156" s="209"/>
      <c r="M156" s="128"/>
      <c r="N156" s="218"/>
      <c r="O156" s="130"/>
      <c r="P156"/>
      <c r="Q156"/>
      <c r="R156"/>
      <c r="S156"/>
      <c r="T156"/>
    </row>
    <row r="157" spans="1:20" ht="21" customHeight="1">
      <c r="A157" s="86">
        <v>145</v>
      </c>
      <c r="B157" s="87" t="s">
        <v>442</v>
      </c>
      <c r="C157" s="88" t="s">
        <v>443</v>
      </c>
      <c r="D157" s="87" t="s">
        <v>77</v>
      </c>
      <c r="E157" s="89">
        <v>165</v>
      </c>
      <c r="F157" s="160" t="s">
        <v>285</v>
      </c>
      <c r="G157" s="86" t="s">
        <v>123</v>
      </c>
      <c r="H157" s="86" t="s">
        <v>85</v>
      </c>
      <c r="I157" s="193">
        <v>172</v>
      </c>
      <c r="J157" s="167"/>
      <c r="K157" s="211"/>
      <c r="L157" s="211"/>
      <c r="M157" s="93"/>
      <c r="N157" s="216"/>
      <c r="O157" s="95"/>
      <c r="P157"/>
      <c r="Q157"/>
      <c r="R157"/>
      <c r="S157"/>
      <c r="T157"/>
    </row>
    <row r="158" spans="1:20" ht="21" customHeight="1">
      <c r="A158" s="33">
        <v>146</v>
      </c>
      <c r="B158" s="63" t="s">
        <v>442</v>
      </c>
      <c r="C158" s="64" t="s">
        <v>444</v>
      </c>
      <c r="D158" s="63" t="s">
        <v>77</v>
      </c>
      <c r="E158" s="65">
        <v>92</v>
      </c>
      <c r="F158" s="81" t="s">
        <v>286</v>
      </c>
      <c r="G158" s="33" t="s">
        <v>61</v>
      </c>
      <c r="H158" s="33" t="s">
        <v>109</v>
      </c>
      <c r="I158" s="97" t="s">
        <v>445</v>
      </c>
      <c r="J158" s="168"/>
      <c r="K158" s="206"/>
      <c r="L158" s="206"/>
      <c r="M158" s="70"/>
      <c r="N158" s="217"/>
      <c r="O158" s="74"/>
      <c r="P158"/>
      <c r="Q158"/>
      <c r="R158"/>
      <c r="S158"/>
      <c r="T158"/>
    </row>
    <row r="159" spans="1:20" ht="21" customHeight="1">
      <c r="A159" s="33">
        <v>147</v>
      </c>
      <c r="B159" s="63" t="s">
        <v>442</v>
      </c>
      <c r="C159" s="64" t="s">
        <v>446</v>
      </c>
      <c r="D159" s="63" t="s">
        <v>56</v>
      </c>
      <c r="E159" s="65">
        <v>113</v>
      </c>
      <c r="F159" s="84" t="s">
        <v>75</v>
      </c>
      <c r="G159" s="33" t="s">
        <v>447</v>
      </c>
      <c r="H159" s="33" t="s">
        <v>415</v>
      </c>
      <c r="I159" s="33" t="s">
        <v>99</v>
      </c>
      <c r="J159" s="168"/>
      <c r="K159" s="206"/>
      <c r="L159" s="206"/>
      <c r="M159" s="70"/>
      <c r="N159" s="217"/>
      <c r="O159" s="74"/>
      <c r="P159"/>
      <c r="Q159"/>
      <c r="R159"/>
      <c r="S159"/>
      <c r="T159"/>
    </row>
    <row r="160" spans="1:20" ht="21" customHeight="1">
      <c r="A160" s="33">
        <v>148</v>
      </c>
      <c r="B160" s="63" t="s">
        <v>442</v>
      </c>
      <c r="C160" s="64" t="s">
        <v>448</v>
      </c>
      <c r="D160" s="63" t="s">
        <v>56</v>
      </c>
      <c r="E160" s="65">
        <v>126</v>
      </c>
      <c r="F160" s="84" t="s">
        <v>285</v>
      </c>
      <c r="G160" s="33" t="s">
        <v>449</v>
      </c>
      <c r="H160" s="33" t="s">
        <v>450</v>
      </c>
      <c r="I160" s="33" t="s">
        <v>99</v>
      </c>
      <c r="J160" s="168"/>
      <c r="K160" s="206"/>
      <c r="L160" s="206"/>
      <c r="M160" s="70"/>
      <c r="N160" s="217"/>
      <c r="O160" s="74"/>
      <c r="P160"/>
      <c r="Q160"/>
      <c r="R160"/>
      <c r="S160"/>
      <c r="T160"/>
    </row>
    <row r="161" spans="1:20" ht="21" customHeight="1">
      <c r="A161" s="33">
        <v>149</v>
      </c>
      <c r="B161" s="63" t="s">
        <v>442</v>
      </c>
      <c r="C161" s="64" t="s">
        <v>451</v>
      </c>
      <c r="D161" s="63" t="s">
        <v>452</v>
      </c>
      <c r="E161" s="79">
        <v>202</v>
      </c>
      <c r="F161" s="81"/>
      <c r="G161" s="33"/>
      <c r="H161" s="33"/>
      <c r="I161" s="33"/>
      <c r="J161" s="168"/>
      <c r="K161" s="206"/>
      <c r="L161" s="206"/>
      <c r="M161" s="70"/>
      <c r="N161" s="217" t="s">
        <v>453</v>
      </c>
      <c r="O161" s="74"/>
      <c r="P161"/>
      <c r="Q161"/>
      <c r="R161"/>
      <c r="S161"/>
      <c r="T161"/>
    </row>
    <row r="162" spans="1:20" ht="21" customHeight="1">
      <c r="A162" s="33">
        <v>150</v>
      </c>
      <c r="B162" s="63" t="s">
        <v>454</v>
      </c>
      <c r="C162" s="64" t="s">
        <v>455</v>
      </c>
      <c r="D162" s="63" t="s">
        <v>56</v>
      </c>
      <c r="E162" s="65">
        <v>143</v>
      </c>
      <c r="F162" s="84" t="s">
        <v>285</v>
      </c>
      <c r="G162" s="33" t="s">
        <v>98</v>
      </c>
      <c r="H162" s="33" t="s">
        <v>85</v>
      </c>
      <c r="I162" s="33" t="s">
        <v>456</v>
      </c>
      <c r="J162" s="168" t="s">
        <v>426</v>
      </c>
      <c r="K162" s="206"/>
      <c r="L162" s="206"/>
      <c r="M162" s="70"/>
      <c r="N162" s="217"/>
      <c r="O162" s="74"/>
      <c r="P162"/>
      <c r="Q162"/>
      <c r="R162"/>
      <c r="S162"/>
      <c r="T162"/>
    </row>
    <row r="163" spans="1:20" ht="21" customHeight="1">
      <c r="A163" s="33">
        <v>151</v>
      </c>
      <c r="B163" s="63" t="s">
        <v>442</v>
      </c>
      <c r="C163" s="64" t="s">
        <v>457</v>
      </c>
      <c r="D163" s="63" t="s">
        <v>77</v>
      </c>
      <c r="E163" s="65">
        <v>89</v>
      </c>
      <c r="F163" s="81" t="s">
        <v>286</v>
      </c>
      <c r="G163" s="33" t="s">
        <v>123</v>
      </c>
      <c r="H163" s="169">
        <v>100</v>
      </c>
      <c r="I163" s="33" t="s">
        <v>98</v>
      </c>
      <c r="J163" s="168" t="s">
        <v>127</v>
      </c>
      <c r="K163" s="206"/>
      <c r="L163" s="206"/>
      <c r="M163" s="70"/>
      <c r="N163" s="217"/>
      <c r="O163" s="74"/>
      <c r="P163"/>
      <c r="Q163"/>
      <c r="R163"/>
      <c r="S163"/>
      <c r="T163"/>
    </row>
    <row r="164" spans="1:20" ht="21" customHeight="1">
      <c r="A164" s="33"/>
      <c r="B164" s="33"/>
      <c r="C164" s="132" t="s">
        <v>149</v>
      </c>
      <c r="D164" s="220"/>
      <c r="E164" s="220"/>
      <c r="F164" s="135">
        <v>7</v>
      </c>
      <c r="G164" s="135">
        <v>1</v>
      </c>
      <c r="H164" s="135">
        <v>6</v>
      </c>
      <c r="I164" s="135"/>
      <c r="J164" s="135"/>
      <c r="K164" s="184"/>
      <c r="L164" s="184"/>
      <c r="M164" s="33"/>
      <c r="N164" s="33"/>
      <c r="O164" s="33"/>
      <c r="P164"/>
      <c r="Q164"/>
      <c r="R164"/>
      <c r="S164"/>
      <c r="T164"/>
    </row>
    <row r="165" spans="1:20" ht="21" customHeight="1">
      <c r="A165" s="33"/>
      <c r="B165" s="33"/>
      <c r="C165" s="132" t="s">
        <v>150</v>
      </c>
      <c r="D165" s="220"/>
      <c r="E165" s="220"/>
      <c r="F165" s="135"/>
      <c r="G165" s="135">
        <v>3</v>
      </c>
      <c r="H165" s="135">
        <v>1</v>
      </c>
      <c r="I165" s="135">
        <v>3</v>
      </c>
      <c r="J165" s="135">
        <v>1</v>
      </c>
      <c r="K165" s="33"/>
      <c r="L165" s="33"/>
      <c r="M165" s="33"/>
      <c r="N165" s="33"/>
      <c r="O165" s="33"/>
      <c r="P165"/>
      <c r="Q165"/>
      <c r="R165"/>
      <c r="S165"/>
      <c r="T165"/>
    </row>
    <row r="167" spans="1:20" ht="27" customHeight="1">
      <c r="B167" s="513" t="s">
        <v>458</v>
      </c>
      <c r="C167" s="513"/>
      <c r="D167" s="513"/>
      <c r="E167" s="513"/>
      <c r="F167" s="513"/>
      <c r="G167" s="513"/>
      <c r="H167" s="513"/>
    </row>
    <row r="168" spans="1:20" ht="25.5" customHeight="1">
      <c r="A168" s="221"/>
      <c r="B168" s="508" t="s">
        <v>459</v>
      </c>
      <c r="C168" s="509"/>
      <c r="D168" s="39" t="s">
        <v>460</v>
      </c>
      <c r="E168" s="39" t="s">
        <v>461</v>
      </c>
      <c r="F168" s="39" t="s">
        <v>462</v>
      </c>
      <c r="G168" s="39" t="s">
        <v>463</v>
      </c>
      <c r="H168" s="39" t="s">
        <v>48</v>
      </c>
    </row>
    <row r="169" spans="1:20" ht="25.5" customHeight="1">
      <c r="A169" s="221"/>
      <c r="B169" s="508" t="s">
        <v>464</v>
      </c>
      <c r="C169" s="509"/>
      <c r="D169" s="508">
        <v>258</v>
      </c>
      <c r="E169" s="514"/>
      <c r="F169" s="514"/>
      <c r="G169" s="514"/>
      <c r="H169" s="509"/>
    </row>
    <row r="170" spans="1:20" ht="25.5" customHeight="1">
      <c r="A170" s="221"/>
      <c r="B170" s="508" t="s">
        <v>465</v>
      </c>
      <c r="C170" s="509"/>
      <c r="D170" s="39">
        <v>32</v>
      </c>
      <c r="E170" s="39">
        <v>1</v>
      </c>
      <c r="F170" s="39">
        <v>57</v>
      </c>
      <c r="G170" s="39">
        <v>11</v>
      </c>
      <c r="H170" s="39"/>
    </row>
    <row r="171" spans="1:20" ht="25.5" customHeight="1">
      <c r="A171" s="221"/>
      <c r="B171" s="508" t="s">
        <v>466</v>
      </c>
      <c r="C171" s="509"/>
      <c r="D171" s="39">
        <v>8</v>
      </c>
      <c r="E171" s="39">
        <v>32</v>
      </c>
      <c r="F171" s="39">
        <v>36</v>
      </c>
      <c r="G171" s="39">
        <v>23</v>
      </c>
      <c r="H171" s="39">
        <v>7</v>
      </c>
    </row>
  </sheetData>
  <mergeCells count="7">
    <mergeCell ref="B171:C171"/>
    <mergeCell ref="F1:J1"/>
    <mergeCell ref="B167:H167"/>
    <mergeCell ref="B168:C168"/>
    <mergeCell ref="B169:C169"/>
    <mergeCell ref="D169:H169"/>
    <mergeCell ref="B170:C170"/>
  </mergeCells>
  <phoneticPr fontId="3" type="noConversion"/>
  <conditionalFormatting sqref="D3:D163">
    <cfRule type="cellIs" dxfId="6" priority="2" operator="equal">
      <formula>"사립"</formula>
    </cfRule>
  </conditionalFormatting>
  <conditionalFormatting sqref="E33:E53">
    <cfRule type="cellIs" dxfId="5" priority="1" operator="greaterThan">
      <formula>199</formula>
    </cfRule>
  </conditionalFormatting>
  <pageMargins left="0.31496062992125984" right="0.11811023622047245" top="0.74803149606299213" bottom="0.35433070866141736" header="0.31496062992125984" footer="0.31496062992125984"/>
  <pageSetup paperSize="8" scale="70" fitToHeight="0" orientation="portrait" r:id="rId1"/>
  <rowBreaks count="2" manualBreakCount="2">
    <brk id="73" max="14" man="1"/>
    <brk id="146" max="14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pageSetUpPr fitToPage="1"/>
  </sheetPr>
  <dimension ref="A1:O110"/>
  <sheetViews>
    <sheetView zoomScaleNormal="10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H89" sqref="H89"/>
    </sheetView>
  </sheetViews>
  <sheetFormatPr defaultRowHeight="16.5"/>
  <cols>
    <col min="1" max="1" width="6" style="30" customWidth="1"/>
    <col min="2" max="2" width="11.625" style="30" bestFit="1" customWidth="1"/>
    <col min="3" max="3" width="19.5" bestFit="1" customWidth="1"/>
    <col min="4" max="4" width="8.625" style="30" customWidth="1"/>
    <col min="5" max="5" width="8.625" customWidth="1"/>
    <col min="6" max="19" width="12.625" customWidth="1"/>
    <col min="20" max="21" width="17.125" customWidth="1"/>
  </cols>
  <sheetData>
    <row r="1" spans="1:15" ht="20.100000000000001" customHeight="1" thickBot="1">
      <c r="F1" s="515">
        <v>2025</v>
      </c>
      <c r="G1" s="515"/>
      <c r="H1" s="515"/>
      <c r="I1" s="515"/>
      <c r="J1" s="515"/>
    </row>
    <row r="2" spans="1:15" ht="20.100000000000001" customHeight="1">
      <c r="A2" s="222" t="s">
        <v>467</v>
      </c>
      <c r="B2" s="222" t="s">
        <v>468</v>
      </c>
      <c r="C2" s="222" t="s">
        <v>469</v>
      </c>
      <c r="D2" s="222" t="s">
        <v>470</v>
      </c>
      <c r="E2" s="223" t="s">
        <v>471</v>
      </c>
      <c r="F2" s="224" t="s">
        <v>472</v>
      </c>
      <c r="G2" s="152" t="s">
        <v>473</v>
      </c>
      <c r="H2" s="152" t="s">
        <v>474</v>
      </c>
      <c r="I2" s="152" t="s">
        <v>475</v>
      </c>
      <c r="J2" s="225" t="s">
        <v>476</v>
      </c>
      <c r="K2" s="226" t="s">
        <v>477</v>
      </c>
      <c r="L2" s="227" t="s">
        <v>478</v>
      </c>
      <c r="M2" s="228" t="s">
        <v>479</v>
      </c>
      <c r="N2" s="229" t="s">
        <v>480</v>
      </c>
      <c r="O2" s="230" t="s">
        <v>481</v>
      </c>
    </row>
    <row r="3" spans="1:15" ht="21" customHeight="1">
      <c r="A3" s="33">
        <v>1</v>
      </c>
      <c r="B3" s="63" t="s">
        <v>482</v>
      </c>
      <c r="C3" s="64" t="s">
        <v>483</v>
      </c>
      <c r="D3" s="63" t="s">
        <v>56</v>
      </c>
      <c r="E3" s="79">
        <v>291</v>
      </c>
      <c r="F3" s="84" t="s">
        <v>484</v>
      </c>
      <c r="G3" s="148" t="s">
        <v>485</v>
      </c>
      <c r="H3" s="78" t="s">
        <v>484</v>
      </c>
      <c r="I3" s="148" t="s">
        <v>486</v>
      </c>
      <c r="J3" s="149" t="s">
        <v>487</v>
      </c>
      <c r="K3" s="206"/>
      <c r="L3" s="153"/>
      <c r="M3" s="206"/>
      <c r="N3" s="205"/>
      <c r="O3" s="74"/>
    </row>
    <row r="4" spans="1:15" ht="21" customHeight="1">
      <c r="A4" s="33">
        <v>2</v>
      </c>
      <c r="B4" s="63" t="s">
        <v>482</v>
      </c>
      <c r="C4" s="64" t="s">
        <v>488</v>
      </c>
      <c r="D4" s="63" t="s">
        <v>56</v>
      </c>
      <c r="E4" s="65">
        <v>77</v>
      </c>
      <c r="F4" s="156"/>
      <c r="G4" s="148"/>
      <c r="H4" s="78" t="s">
        <v>484</v>
      </c>
      <c r="I4" s="78" t="s">
        <v>484</v>
      </c>
      <c r="J4" s="149" t="s">
        <v>487</v>
      </c>
      <c r="K4" s="206"/>
      <c r="L4" s="153"/>
      <c r="M4" s="206"/>
      <c r="N4" s="205"/>
      <c r="O4" s="74"/>
    </row>
    <row r="5" spans="1:15" ht="21" customHeight="1">
      <c r="A5" s="33">
        <v>3</v>
      </c>
      <c r="B5" s="63" t="s">
        <v>482</v>
      </c>
      <c r="C5" s="64" t="s">
        <v>489</v>
      </c>
      <c r="D5" s="63" t="s">
        <v>56</v>
      </c>
      <c r="E5" s="79">
        <v>272</v>
      </c>
      <c r="F5" s="156" t="s">
        <v>490</v>
      </c>
      <c r="G5" s="148" t="s">
        <v>485</v>
      </c>
      <c r="H5" s="78" t="s">
        <v>484</v>
      </c>
      <c r="I5" s="148" t="s">
        <v>486</v>
      </c>
      <c r="J5" s="149" t="s">
        <v>487</v>
      </c>
      <c r="K5" s="206"/>
      <c r="L5" s="153"/>
      <c r="M5" s="206"/>
      <c r="N5" s="205"/>
      <c r="O5" s="74"/>
    </row>
    <row r="6" spans="1:15" ht="21" customHeight="1">
      <c r="A6" s="33">
        <v>4</v>
      </c>
      <c r="B6" s="63" t="s">
        <v>482</v>
      </c>
      <c r="C6" s="64" t="s">
        <v>491</v>
      </c>
      <c r="D6" s="63" t="s">
        <v>56</v>
      </c>
      <c r="E6" s="65">
        <v>221</v>
      </c>
      <c r="F6" s="84" t="s">
        <v>285</v>
      </c>
      <c r="G6" s="152" t="s">
        <v>492</v>
      </c>
      <c r="H6" s="78" t="s">
        <v>484</v>
      </c>
      <c r="I6" s="148" t="s">
        <v>487</v>
      </c>
      <c r="J6" s="149" t="s">
        <v>487</v>
      </c>
      <c r="K6" s="206"/>
      <c r="L6" s="153"/>
      <c r="M6" s="206"/>
      <c r="N6" s="205"/>
      <c r="O6" s="74"/>
    </row>
    <row r="7" spans="1:15" ht="21" customHeight="1" thickBot="1">
      <c r="A7" s="85">
        <v>5</v>
      </c>
      <c r="B7" s="123" t="s">
        <v>493</v>
      </c>
      <c r="C7" s="124" t="s">
        <v>494</v>
      </c>
      <c r="D7" s="123" t="s">
        <v>56</v>
      </c>
      <c r="E7" s="125">
        <v>156</v>
      </c>
      <c r="F7" s="231" t="s">
        <v>395</v>
      </c>
      <c r="G7" s="162" t="s">
        <v>296</v>
      </c>
      <c r="H7" s="162" t="s">
        <v>395</v>
      </c>
      <c r="I7" s="162" t="s">
        <v>315</v>
      </c>
      <c r="J7" s="158" t="s">
        <v>487</v>
      </c>
      <c r="K7" s="209"/>
      <c r="L7" s="159"/>
      <c r="M7" s="209"/>
      <c r="N7" s="232" t="s">
        <v>495</v>
      </c>
      <c r="O7" s="130"/>
    </row>
    <row r="8" spans="1:15" ht="21" customHeight="1">
      <c r="A8" s="86">
        <v>6</v>
      </c>
      <c r="B8" s="87" t="s">
        <v>496</v>
      </c>
      <c r="C8" s="88" t="s">
        <v>497</v>
      </c>
      <c r="D8" s="87" t="s">
        <v>56</v>
      </c>
      <c r="E8" s="89">
        <v>96</v>
      </c>
      <c r="F8" s="143" t="s">
        <v>498</v>
      </c>
      <c r="G8" s="145" t="s">
        <v>298</v>
      </c>
      <c r="H8" s="144">
        <v>85</v>
      </c>
      <c r="I8" s="144">
        <v>85</v>
      </c>
      <c r="J8" s="146"/>
      <c r="K8" s="211"/>
      <c r="L8" s="147"/>
      <c r="M8" s="211"/>
      <c r="N8" s="233"/>
      <c r="O8" s="95"/>
    </row>
    <row r="9" spans="1:15" ht="21" customHeight="1">
      <c r="A9" s="33">
        <v>7</v>
      </c>
      <c r="B9" s="63" t="s">
        <v>499</v>
      </c>
      <c r="C9" s="64" t="s">
        <v>500</v>
      </c>
      <c r="D9" s="63" t="s">
        <v>56</v>
      </c>
      <c r="E9" s="65">
        <v>67</v>
      </c>
      <c r="F9" s="156" t="s">
        <v>501</v>
      </c>
      <c r="G9" s="148" t="s">
        <v>502</v>
      </c>
      <c r="H9" s="78" t="s">
        <v>285</v>
      </c>
      <c r="I9" s="78" t="s">
        <v>285</v>
      </c>
      <c r="J9" s="149" t="s">
        <v>299</v>
      </c>
      <c r="K9" s="206"/>
      <c r="L9" s="153"/>
      <c r="M9" s="206"/>
      <c r="N9" s="205"/>
      <c r="O9" s="74"/>
    </row>
    <row r="10" spans="1:15" ht="21" customHeight="1">
      <c r="A10" s="33">
        <v>8</v>
      </c>
      <c r="B10" s="63" t="s">
        <v>496</v>
      </c>
      <c r="C10" s="64" t="s">
        <v>503</v>
      </c>
      <c r="D10" s="63" t="s">
        <v>56</v>
      </c>
      <c r="E10" s="65">
        <v>85</v>
      </c>
      <c r="F10" s="156" t="s">
        <v>485</v>
      </c>
      <c r="G10" s="148" t="s">
        <v>504</v>
      </c>
      <c r="H10" s="152">
        <v>81</v>
      </c>
      <c r="I10" s="152">
        <v>81</v>
      </c>
      <c r="J10" s="149" t="s">
        <v>299</v>
      </c>
      <c r="K10" s="206"/>
      <c r="L10" s="153"/>
      <c r="M10" s="206"/>
      <c r="N10" s="205"/>
      <c r="O10" s="74"/>
    </row>
    <row r="11" spans="1:15" ht="21" customHeight="1">
      <c r="A11" s="33">
        <v>9</v>
      </c>
      <c r="B11" s="63" t="s">
        <v>499</v>
      </c>
      <c r="C11" s="64" t="s">
        <v>505</v>
      </c>
      <c r="D11" s="63" t="s">
        <v>56</v>
      </c>
      <c r="E11" s="79">
        <v>354</v>
      </c>
      <c r="F11" s="156" t="s">
        <v>286</v>
      </c>
      <c r="G11" s="148" t="s">
        <v>298</v>
      </c>
      <c r="H11" s="78" t="s">
        <v>285</v>
      </c>
      <c r="I11" s="78" t="s">
        <v>484</v>
      </c>
      <c r="J11" s="149" t="s">
        <v>299</v>
      </c>
      <c r="K11" s="206"/>
      <c r="L11" s="153"/>
      <c r="M11" s="206"/>
      <c r="N11" s="205"/>
      <c r="O11" s="74"/>
    </row>
    <row r="12" spans="1:15" ht="21" customHeight="1">
      <c r="A12" s="33">
        <v>10</v>
      </c>
      <c r="B12" s="63" t="s">
        <v>499</v>
      </c>
      <c r="C12" s="64" t="s">
        <v>506</v>
      </c>
      <c r="D12" s="63" t="s">
        <v>56</v>
      </c>
      <c r="E12" s="65">
        <v>194</v>
      </c>
      <c r="F12" s="156" t="s">
        <v>286</v>
      </c>
      <c r="G12" s="148" t="s">
        <v>296</v>
      </c>
      <c r="H12" s="148" t="s">
        <v>507</v>
      </c>
      <c r="I12" s="148" t="s">
        <v>486</v>
      </c>
      <c r="J12" s="234" t="s">
        <v>508</v>
      </c>
      <c r="K12" s="206"/>
      <c r="L12" s="205" t="s">
        <v>509</v>
      </c>
      <c r="M12" s="206"/>
      <c r="N12" s="74" t="s">
        <v>510</v>
      </c>
      <c r="O12" s="74"/>
    </row>
    <row r="13" spans="1:15" ht="21" customHeight="1">
      <c r="A13" s="33">
        <v>11</v>
      </c>
      <c r="B13" s="63" t="s">
        <v>496</v>
      </c>
      <c r="C13" s="64" t="s">
        <v>511</v>
      </c>
      <c r="D13" s="63" t="s">
        <v>56</v>
      </c>
      <c r="E13" s="79">
        <v>304</v>
      </c>
      <c r="F13" s="156" t="s">
        <v>298</v>
      </c>
      <c r="G13" s="148" t="s">
        <v>512</v>
      </c>
      <c r="H13" s="78" t="s">
        <v>285</v>
      </c>
      <c r="I13" s="148" t="s">
        <v>315</v>
      </c>
      <c r="J13" s="149" t="s">
        <v>299</v>
      </c>
      <c r="K13" s="206"/>
      <c r="L13" s="205"/>
      <c r="M13" s="206"/>
      <c r="N13" s="205"/>
      <c r="O13" s="74"/>
    </row>
    <row r="14" spans="1:15" ht="21" customHeight="1">
      <c r="A14" s="33">
        <v>12</v>
      </c>
      <c r="B14" s="63" t="s">
        <v>496</v>
      </c>
      <c r="C14" s="64" t="s">
        <v>513</v>
      </c>
      <c r="D14" s="63" t="s">
        <v>56</v>
      </c>
      <c r="E14" s="65">
        <v>137</v>
      </c>
      <c r="F14" s="156" t="s">
        <v>298</v>
      </c>
      <c r="G14" s="148" t="s">
        <v>514</v>
      </c>
      <c r="H14" s="78" t="s">
        <v>484</v>
      </c>
      <c r="I14" s="148" t="s">
        <v>315</v>
      </c>
      <c r="J14" s="149" t="s">
        <v>299</v>
      </c>
      <c r="K14" s="206"/>
      <c r="L14" s="205"/>
      <c r="M14" s="206"/>
      <c r="N14" s="205"/>
      <c r="O14" s="74"/>
    </row>
    <row r="15" spans="1:15" ht="21" customHeight="1">
      <c r="A15" s="33">
        <v>13</v>
      </c>
      <c r="B15" s="63" t="s">
        <v>499</v>
      </c>
      <c r="C15" s="64" t="s">
        <v>515</v>
      </c>
      <c r="D15" s="63" t="s">
        <v>56</v>
      </c>
      <c r="E15" s="79">
        <v>385</v>
      </c>
      <c r="F15" s="156" t="s">
        <v>422</v>
      </c>
      <c r="G15" s="148" t="s">
        <v>516</v>
      </c>
      <c r="H15" s="78" t="s">
        <v>484</v>
      </c>
      <c r="I15" s="78" t="s">
        <v>285</v>
      </c>
      <c r="J15" s="149" t="s">
        <v>299</v>
      </c>
      <c r="K15" s="206"/>
      <c r="L15" s="205"/>
      <c r="M15" s="206"/>
      <c r="N15" s="205"/>
      <c r="O15" s="74"/>
    </row>
    <row r="16" spans="1:15" ht="21" customHeight="1">
      <c r="A16" s="33">
        <v>14</v>
      </c>
      <c r="B16" s="63" t="s">
        <v>499</v>
      </c>
      <c r="C16" s="64" t="s">
        <v>517</v>
      </c>
      <c r="D16" s="63" t="s">
        <v>56</v>
      </c>
      <c r="E16" s="65">
        <v>157</v>
      </c>
      <c r="F16" s="156" t="s">
        <v>518</v>
      </c>
      <c r="G16" s="67" t="s">
        <v>519</v>
      </c>
      <c r="H16" s="148" t="s">
        <v>286</v>
      </c>
      <c r="I16" s="148" t="s">
        <v>315</v>
      </c>
      <c r="J16" s="149" t="s">
        <v>487</v>
      </c>
      <c r="K16" s="206"/>
      <c r="L16" s="235" t="s">
        <v>520</v>
      </c>
      <c r="M16" s="206"/>
      <c r="N16" s="205"/>
      <c r="O16" s="74"/>
    </row>
    <row r="17" spans="1:15" ht="21" customHeight="1">
      <c r="A17" s="33">
        <v>15</v>
      </c>
      <c r="B17" s="63" t="s">
        <v>499</v>
      </c>
      <c r="C17" s="64" t="s">
        <v>521</v>
      </c>
      <c r="D17" s="63" t="s">
        <v>56</v>
      </c>
      <c r="E17" s="79">
        <v>299</v>
      </c>
      <c r="F17" s="156" t="s">
        <v>395</v>
      </c>
      <c r="G17" s="148" t="s">
        <v>422</v>
      </c>
      <c r="H17" s="78" t="s">
        <v>285</v>
      </c>
      <c r="I17" s="148" t="s">
        <v>315</v>
      </c>
      <c r="J17" s="149" t="s">
        <v>487</v>
      </c>
      <c r="K17" s="206"/>
      <c r="L17" s="205"/>
      <c r="M17" s="206"/>
      <c r="N17" s="205"/>
      <c r="O17" s="74"/>
    </row>
    <row r="18" spans="1:15" ht="21" customHeight="1">
      <c r="A18" s="33">
        <v>16</v>
      </c>
      <c r="B18" s="63" t="s">
        <v>499</v>
      </c>
      <c r="C18" s="64" t="s">
        <v>522</v>
      </c>
      <c r="D18" s="63" t="s">
        <v>56</v>
      </c>
      <c r="E18" s="65">
        <v>190</v>
      </c>
      <c r="F18" s="156" t="s">
        <v>485</v>
      </c>
      <c r="G18" s="236" t="s">
        <v>516</v>
      </c>
      <c r="H18" s="148" t="s">
        <v>395</v>
      </c>
      <c r="I18" s="78" t="s">
        <v>523</v>
      </c>
      <c r="J18" s="149" t="s">
        <v>299</v>
      </c>
      <c r="K18" s="206"/>
      <c r="L18" s="205"/>
      <c r="M18" s="206"/>
      <c r="N18" s="237" t="s">
        <v>524</v>
      </c>
      <c r="O18" s="74"/>
    </row>
    <row r="19" spans="1:15" ht="21" customHeight="1">
      <c r="A19" s="33">
        <v>17</v>
      </c>
      <c r="B19" s="63" t="s">
        <v>499</v>
      </c>
      <c r="C19" s="64" t="s">
        <v>525</v>
      </c>
      <c r="D19" s="63" t="s">
        <v>77</v>
      </c>
      <c r="E19" s="65">
        <v>16</v>
      </c>
      <c r="F19" s="156" t="s">
        <v>286</v>
      </c>
      <c r="G19" s="148" t="s">
        <v>286</v>
      </c>
      <c r="H19" s="78" t="s">
        <v>285</v>
      </c>
      <c r="I19" s="148" t="s">
        <v>526</v>
      </c>
      <c r="J19" s="149" t="s">
        <v>395</v>
      </c>
      <c r="K19" s="206"/>
      <c r="L19" s="205"/>
      <c r="M19" s="206"/>
      <c r="N19" s="205"/>
      <c r="O19" s="74"/>
    </row>
    <row r="20" spans="1:15" ht="21" customHeight="1">
      <c r="A20" s="33">
        <v>18</v>
      </c>
      <c r="B20" s="63" t="s">
        <v>499</v>
      </c>
      <c r="C20" s="64" t="s">
        <v>527</v>
      </c>
      <c r="D20" s="63" t="s">
        <v>56</v>
      </c>
      <c r="E20" s="65">
        <v>226</v>
      </c>
      <c r="F20" s="156" t="s">
        <v>298</v>
      </c>
      <c r="G20" s="148" t="s">
        <v>296</v>
      </c>
      <c r="H20" s="148" t="s">
        <v>528</v>
      </c>
      <c r="I20" s="148" t="s">
        <v>315</v>
      </c>
      <c r="J20" s="234" t="s">
        <v>529</v>
      </c>
      <c r="K20" s="206"/>
      <c r="L20" s="205"/>
      <c r="M20" s="206"/>
      <c r="N20" s="205"/>
      <c r="O20" s="74"/>
    </row>
    <row r="21" spans="1:15" ht="21" customHeight="1">
      <c r="A21" s="33">
        <v>19</v>
      </c>
      <c r="B21" s="63" t="s">
        <v>499</v>
      </c>
      <c r="C21" s="64" t="s">
        <v>530</v>
      </c>
      <c r="D21" s="63" t="s">
        <v>56</v>
      </c>
      <c r="E21" s="65">
        <v>153</v>
      </c>
      <c r="F21" s="152" t="s">
        <v>531</v>
      </c>
      <c r="G21" s="148" t="s">
        <v>485</v>
      </c>
      <c r="H21" s="152">
        <v>145</v>
      </c>
      <c r="I21" s="148" t="s">
        <v>315</v>
      </c>
      <c r="J21" s="149" t="s">
        <v>487</v>
      </c>
      <c r="K21" s="206"/>
      <c r="L21" s="205"/>
      <c r="M21" s="206"/>
      <c r="N21" s="205"/>
      <c r="O21" s="74"/>
    </row>
    <row r="22" spans="1:15" ht="21" customHeight="1">
      <c r="A22" s="33">
        <v>20</v>
      </c>
      <c r="B22" s="63" t="s">
        <v>499</v>
      </c>
      <c r="C22" s="64" t="s">
        <v>532</v>
      </c>
      <c r="D22" s="63" t="s">
        <v>56</v>
      </c>
      <c r="E22" s="79">
        <v>265</v>
      </c>
      <c r="F22" s="156" t="s">
        <v>395</v>
      </c>
      <c r="G22" s="148" t="s">
        <v>516</v>
      </c>
      <c r="H22" s="78" t="s">
        <v>285</v>
      </c>
      <c r="I22" s="148" t="s">
        <v>286</v>
      </c>
      <c r="J22" s="149" t="s">
        <v>299</v>
      </c>
      <c r="K22" s="206"/>
      <c r="L22" s="205"/>
      <c r="M22" s="206"/>
      <c r="N22" s="205"/>
      <c r="O22" s="74"/>
    </row>
    <row r="23" spans="1:15" ht="21" customHeight="1">
      <c r="A23" s="33">
        <v>21</v>
      </c>
      <c r="B23" s="63" t="s">
        <v>499</v>
      </c>
      <c r="C23" s="64" t="s">
        <v>533</v>
      </c>
      <c r="D23" s="63" t="s">
        <v>56</v>
      </c>
      <c r="E23" s="65">
        <v>245</v>
      </c>
      <c r="F23" s="156" t="s">
        <v>501</v>
      </c>
      <c r="G23" s="148" t="s">
        <v>286</v>
      </c>
      <c r="H23" s="78" t="s">
        <v>484</v>
      </c>
      <c r="I23" s="78" t="s">
        <v>534</v>
      </c>
      <c r="J23" s="149" t="s">
        <v>299</v>
      </c>
      <c r="K23" s="206"/>
      <c r="L23" s="205"/>
      <c r="M23" s="206"/>
      <c r="N23" s="205"/>
      <c r="O23" s="74"/>
    </row>
    <row r="24" spans="1:15" ht="21" customHeight="1">
      <c r="A24" s="33">
        <v>22</v>
      </c>
      <c r="B24" s="63" t="s">
        <v>499</v>
      </c>
      <c r="C24" s="64" t="s">
        <v>535</v>
      </c>
      <c r="D24" s="63" t="s">
        <v>56</v>
      </c>
      <c r="E24" s="65">
        <v>154</v>
      </c>
      <c r="F24" s="156" t="s">
        <v>501</v>
      </c>
      <c r="G24" s="148" t="s">
        <v>536</v>
      </c>
      <c r="H24" s="78" t="s">
        <v>285</v>
      </c>
      <c r="I24" s="148" t="s">
        <v>286</v>
      </c>
      <c r="J24" s="149" t="s">
        <v>299</v>
      </c>
      <c r="K24" s="238"/>
      <c r="L24" s="205"/>
      <c r="M24" s="238" t="s">
        <v>537</v>
      </c>
      <c r="N24" s="205"/>
      <c r="O24" s="74"/>
    </row>
    <row r="25" spans="1:15" ht="21" customHeight="1">
      <c r="A25" s="33">
        <v>23</v>
      </c>
      <c r="B25" s="63" t="s">
        <v>499</v>
      </c>
      <c r="C25" s="64" t="s">
        <v>538</v>
      </c>
      <c r="D25" s="63" t="s">
        <v>56</v>
      </c>
      <c r="E25" s="65">
        <v>199</v>
      </c>
      <c r="F25" s="156" t="s">
        <v>298</v>
      </c>
      <c r="G25" s="148" t="s">
        <v>536</v>
      </c>
      <c r="H25" s="78" t="s">
        <v>285</v>
      </c>
      <c r="I25" s="148" t="s">
        <v>315</v>
      </c>
      <c r="J25" s="149" t="s">
        <v>299</v>
      </c>
      <c r="K25" s="206"/>
      <c r="L25" s="205"/>
      <c r="M25" s="206"/>
      <c r="N25" s="205"/>
      <c r="O25" s="74"/>
    </row>
    <row r="26" spans="1:15" ht="21" customHeight="1">
      <c r="A26" s="33">
        <v>24</v>
      </c>
      <c r="B26" s="63" t="s">
        <v>499</v>
      </c>
      <c r="C26" s="64" t="s">
        <v>539</v>
      </c>
      <c r="D26" s="63" t="s">
        <v>56</v>
      </c>
      <c r="E26" s="79">
        <v>314</v>
      </c>
      <c r="F26" s="84" t="s">
        <v>285</v>
      </c>
      <c r="G26" s="148" t="s">
        <v>298</v>
      </c>
      <c r="H26" s="78" t="s">
        <v>285</v>
      </c>
      <c r="I26" s="78" t="s">
        <v>484</v>
      </c>
      <c r="J26" s="149" t="s">
        <v>299</v>
      </c>
      <c r="K26" s="206"/>
      <c r="L26" s="205"/>
      <c r="M26" s="206"/>
      <c r="N26" s="205"/>
      <c r="O26" s="74"/>
    </row>
    <row r="27" spans="1:15" ht="21" customHeight="1">
      <c r="A27" s="85">
        <v>25</v>
      </c>
      <c r="B27" s="123" t="s">
        <v>499</v>
      </c>
      <c r="C27" s="124" t="s">
        <v>540</v>
      </c>
      <c r="D27" s="123" t="s">
        <v>56</v>
      </c>
      <c r="E27" s="125">
        <v>248</v>
      </c>
      <c r="F27" s="161" t="s">
        <v>298</v>
      </c>
      <c r="G27" s="162" t="s">
        <v>298</v>
      </c>
      <c r="H27" s="239" t="s">
        <v>508</v>
      </c>
      <c r="I27" s="239">
        <v>284</v>
      </c>
      <c r="J27" s="158" t="s">
        <v>299</v>
      </c>
      <c r="K27" s="209"/>
      <c r="L27" s="159"/>
      <c r="M27" s="209"/>
      <c r="N27" s="214"/>
      <c r="O27" s="130"/>
    </row>
    <row r="28" spans="1:15" ht="21" customHeight="1">
      <c r="A28" s="33"/>
      <c r="B28" s="63"/>
      <c r="C28" s="132" t="s">
        <v>541</v>
      </c>
      <c r="D28" s="133"/>
      <c r="E28" s="134"/>
      <c r="F28" s="163">
        <v>3</v>
      </c>
      <c r="G28" s="163"/>
      <c r="H28" s="163">
        <v>16</v>
      </c>
      <c r="I28" s="163">
        <v>7</v>
      </c>
      <c r="J28" s="163"/>
      <c r="K28" s="184"/>
      <c r="L28" s="153"/>
      <c r="M28" s="184"/>
      <c r="N28" s="205"/>
      <c r="O28" s="74"/>
    </row>
    <row r="29" spans="1:15" ht="21" customHeight="1" thickBot="1">
      <c r="A29" s="137"/>
      <c r="B29" s="100"/>
      <c r="C29" s="138" t="s">
        <v>542</v>
      </c>
      <c r="D29" s="139"/>
      <c r="E29" s="140"/>
      <c r="F29" s="164">
        <v>1</v>
      </c>
      <c r="G29" s="164">
        <v>2</v>
      </c>
      <c r="H29" s="164">
        <v>4</v>
      </c>
      <c r="I29" s="164">
        <v>3</v>
      </c>
      <c r="J29" s="164">
        <v>1</v>
      </c>
      <c r="K29" s="203"/>
      <c r="L29" s="165"/>
      <c r="M29" s="203"/>
      <c r="N29" s="215"/>
      <c r="O29" s="109"/>
    </row>
    <row r="30" spans="1:15" ht="21" customHeight="1">
      <c r="A30" s="86">
        <v>26</v>
      </c>
      <c r="B30" s="87" t="s">
        <v>543</v>
      </c>
      <c r="C30" s="88" t="s">
        <v>544</v>
      </c>
      <c r="D30" s="87" t="s">
        <v>56</v>
      </c>
      <c r="E30" s="89">
        <v>89</v>
      </c>
      <c r="F30" s="240" t="s">
        <v>545</v>
      </c>
      <c r="G30" s="241" t="s">
        <v>368</v>
      </c>
      <c r="H30" s="242" t="s">
        <v>285</v>
      </c>
      <c r="I30" s="241" t="s">
        <v>371</v>
      </c>
      <c r="J30" s="167"/>
      <c r="K30" s="93"/>
      <c r="L30" s="95"/>
      <c r="M30" s="94"/>
      <c r="N30" s="95"/>
      <c r="O30" s="95"/>
    </row>
    <row r="31" spans="1:15" ht="21" customHeight="1">
      <c r="A31" s="33">
        <v>27</v>
      </c>
      <c r="B31" s="63" t="s">
        <v>543</v>
      </c>
      <c r="C31" s="64" t="s">
        <v>546</v>
      </c>
      <c r="D31" s="63" t="s">
        <v>56</v>
      </c>
      <c r="E31" s="65">
        <v>182</v>
      </c>
      <c r="F31" s="190" t="s">
        <v>285</v>
      </c>
      <c r="G31" s="33" t="s">
        <v>437</v>
      </c>
      <c r="H31" s="185" t="s">
        <v>285</v>
      </c>
      <c r="I31" s="169">
        <v>198</v>
      </c>
      <c r="J31" s="168"/>
      <c r="K31" s="70"/>
      <c r="L31" s="74"/>
      <c r="M31" s="76"/>
      <c r="N31" s="74" t="s">
        <v>547</v>
      </c>
      <c r="O31" s="74"/>
    </row>
    <row r="32" spans="1:15" ht="21" customHeight="1">
      <c r="A32" s="33">
        <v>28</v>
      </c>
      <c r="B32" s="63" t="s">
        <v>543</v>
      </c>
      <c r="C32" s="64" t="s">
        <v>548</v>
      </c>
      <c r="D32" s="63" t="s">
        <v>56</v>
      </c>
      <c r="E32" s="65">
        <v>196</v>
      </c>
      <c r="F32" s="243" t="s">
        <v>268</v>
      </c>
      <c r="G32" s="171" t="s">
        <v>549</v>
      </c>
      <c r="H32" s="244" t="s">
        <v>268</v>
      </c>
      <c r="I32" s="244" t="s">
        <v>550</v>
      </c>
      <c r="J32" s="225" t="s">
        <v>551</v>
      </c>
      <c r="K32" s="150" t="s">
        <v>552</v>
      </c>
      <c r="L32" s="74"/>
      <c r="M32" s="76"/>
      <c r="N32" s="74"/>
      <c r="O32" s="74" t="s">
        <v>553</v>
      </c>
    </row>
    <row r="33" spans="1:15" ht="21" customHeight="1">
      <c r="A33" s="33">
        <v>29</v>
      </c>
      <c r="B33" s="63" t="s">
        <v>543</v>
      </c>
      <c r="C33" s="64" t="s">
        <v>554</v>
      </c>
      <c r="D33" s="63" t="s">
        <v>56</v>
      </c>
      <c r="E33" s="65">
        <v>253</v>
      </c>
      <c r="F33" s="190" t="s">
        <v>285</v>
      </c>
      <c r="G33" s="171" t="s">
        <v>555</v>
      </c>
      <c r="H33" s="33" t="s">
        <v>415</v>
      </c>
      <c r="I33" s="169">
        <v>263</v>
      </c>
      <c r="J33" s="168"/>
      <c r="K33" s="70"/>
      <c r="L33" s="98" t="s">
        <v>556</v>
      </c>
      <c r="M33" s="76" t="s">
        <v>557</v>
      </c>
      <c r="N33" s="74"/>
      <c r="O33" s="74"/>
    </row>
    <row r="34" spans="1:15" ht="21" customHeight="1">
      <c r="A34" s="33">
        <v>30</v>
      </c>
      <c r="B34" s="63" t="s">
        <v>543</v>
      </c>
      <c r="C34" s="64" t="s">
        <v>558</v>
      </c>
      <c r="D34" s="63" t="s">
        <v>56</v>
      </c>
      <c r="E34" s="65">
        <v>149</v>
      </c>
      <c r="F34" s="243" t="s">
        <v>559</v>
      </c>
      <c r="G34" s="244" t="s">
        <v>371</v>
      </c>
      <c r="H34" s="185" t="s">
        <v>285</v>
      </c>
      <c r="I34" s="185" t="s">
        <v>285</v>
      </c>
      <c r="J34" s="168"/>
      <c r="K34" s="70"/>
      <c r="L34" s="74"/>
      <c r="M34" s="76"/>
      <c r="N34" s="74"/>
      <c r="O34" s="74"/>
    </row>
    <row r="35" spans="1:15" ht="21" customHeight="1">
      <c r="A35" s="33">
        <v>31</v>
      </c>
      <c r="B35" s="63" t="s">
        <v>560</v>
      </c>
      <c r="C35" s="64" t="s">
        <v>561</v>
      </c>
      <c r="D35" s="63" t="s">
        <v>56</v>
      </c>
      <c r="E35" s="65">
        <v>250</v>
      </c>
      <c r="F35" s="243" t="s">
        <v>415</v>
      </c>
      <c r="G35" s="244" t="s">
        <v>562</v>
      </c>
      <c r="H35" s="169">
        <v>271</v>
      </c>
      <c r="I35" s="185" t="s">
        <v>285</v>
      </c>
      <c r="J35" s="168"/>
      <c r="K35" s="70"/>
      <c r="L35" s="151" t="s">
        <v>563</v>
      </c>
      <c r="M35" s="76"/>
      <c r="N35" s="74"/>
      <c r="O35" s="74"/>
    </row>
    <row r="36" spans="1:15" ht="21" customHeight="1">
      <c r="A36" s="33">
        <v>32</v>
      </c>
      <c r="B36" s="63" t="s">
        <v>543</v>
      </c>
      <c r="C36" s="64" t="s">
        <v>564</v>
      </c>
      <c r="D36" s="63" t="s">
        <v>56</v>
      </c>
      <c r="E36" s="65">
        <v>204</v>
      </c>
      <c r="F36" s="81" t="s">
        <v>298</v>
      </c>
      <c r="G36" s="245" t="s">
        <v>298</v>
      </c>
      <c r="H36" s="185" t="s">
        <v>285</v>
      </c>
      <c r="I36" s="33" t="s">
        <v>486</v>
      </c>
      <c r="J36" s="168" t="s">
        <v>299</v>
      </c>
      <c r="K36" s="70"/>
      <c r="L36" s="74"/>
      <c r="M36" s="76"/>
      <c r="N36" s="187" t="s">
        <v>565</v>
      </c>
      <c r="O36" s="74"/>
    </row>
    <row r="37" spans="1:15" ht="21" customHeight="1">
      <c r="A37" s="33">
        <v>33</v>
      </c>
      <c r="B37" s="63" t="s">
        <v>543</v>
      </c>
      <c r="C37" s="64" t="s">
        <v>566</v>
      </c>
      <c r="D37" s="63" t="s">
        <v>56</v>
      </c>
      <c r="E37" s="65">
        <v>135</v>
      </c>
      <c r="F37" s="190" t="s">
        <v>285</v>
      </c>
      <c r="G37" s="33" t="s">
        <v>298</v>
      </c>
      <c r="H37" s="33" t="s">
        <v>415</v>
      </c>
      <c r="I37" s="33" t="s">
        <v>390</v>
      </c>
      <c r="J37" s="168"/>
      <c r="K37" s="70"/>
      <c r="L37" s="74"/>
      <c r="M37" s="76"/>
      <c r="N37" s="73"/>
      <c r="O37" s="74"/>
    </row>
    <row r="38" spans="1:15" ht="21" customHeight="1">
      <c r="A38" s="33">
        <v>34</v>
      </c>
      <c r="B38" s="63" t="s">
        <v>543</v>
      </c>
      <c r="C38" s="64" t="s">
        <v>567</v>
      </c>
      <c r="D38" s="63" t="s">
        <v>56</v>
      </c>
      <c r="E38" s="79">
        <v>402</v>
      </c>
      <c r="F38" s="243" t="s">
        <v>559</v>
      </c>
      <c r="G38" s="244" t="s">
        <v>568</v>
      </c>
      <c r="H38" s="185" t="s">
        <v>285</v>
      </c>
      <c r="I38" s="169">
        <v>450</v>
      </c>
      <c r="J38" s="168"/>
      <c r="K38" s="70"/>
      <c r="L38" s="151" t="s">
        <v>569</v>
      </c>
      <c r="M38" s="76"/>
      <c r="N38" s="73"/>
      <c r="O38" s="74"/>
    </row>
    <row r="39" spans="1:15" ht="21" customHeight="1">
      <c r="A39" s="33">
        <v>35</v>
      </c>
      <c r="B39" s="63" t="s">
        <v>543</v>
      </c>
      <c r="C39" s="64" t="s">
        <v>570</v>
      </c>
      <c r="D39" s="63" t="s">
        <v>56</v>
      </c>
      <c r="E39" s="79">
        <v>371</v>
      </c>
      <c r="F39" s="81" t="s">
        <v>536</v>
      </c>
      <c r="G39" s="171" t="s">
        <v>571</v>
      </c>
      <c r="H39" s="33" t="s">
        <v>572</v>
      </c>
      <c r="I39" s="171">
        <v>395</v>
      </c>
      <c r="J39" s="168"/>
      <c r="K39" s="70"/>
      <c r="L39" s="72" t="s">
        <v>573</v>
      </c>
      <c r="M39" s="80" t="s">
        <v>574</v>
      </c>
      <c r="N39" s="73" t="s">
        <v>575</v>
      </c>
      <c r="O39" s="74"/>
    </row>
    <row r="40" spans="1:15" ht="21" customHeight="1">
      <c r="A40" s="33">
        <v>36</v>
      </c>
      <c r="B40" s="63" t="s">
        <v>543</v>
      </c>
      <c r="C40" s="64" t="s">
        <v>576</v>
      </c>
      <c r="D40" s="63" t="s">
        <v>56</v>
      </c>
      <c r="E40" s="65">
        <v>109</v>
      </c>
      <c r="F40" s="243" t="s">
        <v>415</v>
      </c>
      <c r="G40" s="244" t="s">
        <v>368</v>
      </c>
      <c r="H40" s="185" t="s">
        <v>285</v>
      </c>
      <c r="I40" s="244" t="s">
        <v>390</v>
      </c>
      <c r="J40" s="168"/>
      <c r="K40" s="70"/>
      <c r="L40" s="151" t="s">
        <v>577</v>
      </c>
      <c r="M40" s="201" t="s">
        <v>578</v>
      </c>
      <c r="N40" s="73"/>
      <c r="O40" s="74"/>
    </row>
    <row r="41" spans="1:15" ht="21" customHeight="1">
      <c r="A41" s="33">
        <v>37</v>
      </c>
      <c r="B41" s="63" t="s">
        <v>543</v>
      </c>
      <c r="C41" s="64" t="s">
        <v>579</v>
      </c>
      <c r="D41" s="63" t="s">
        <v>56</v>
      </c>
      <c r="E41" s="65">
        <v>196</v>
      </c>
      <c r="F41" s="190" t="s">
        <v>285</v>
      </c>
      <c r="G41" s="33" t="s">
        <v>370</v>
      </c>
      <c r="H41" s="185" t="s">
        <v>285</v>
      </c>
      <c r="I41" s="33" t="s">
        <v>390</v>
      </c>
      <c r="J41" s="168"/>
      <c r="K41" s="70"/>
      <c r="L41" s="74"/>
      <c r="M41" s="76"/>
      <c r="N41" s="73"/>
      <c r="O41" s="74"/>
    </row>
    <row r="42" spans="1:15" ht="21" customHeight="1">
      <c r="A42" s="33">
        <v>38</v>
      </c>
      <c r="B42" s="63" t="s">
        <v>543</v>
      </c>
      <c r="C42" s="64" t="s">
        <v>580</v>
      </c>
      <c r="D42" s="63" t="s">
        <v>56</v>
      </c>
      <c r="E42" s="79">
        <v>305</v>
      </c>
      <c r="F42" s="81" t="s">
        <v>298</v>
      </c>
      <c r="G42" s="171" t="s">
        <v>581</v>
      </c>
      <c r="H42" s="33" t="s">
        <v>395</v>
      </c>
      <c r="I42" s="33" t="s">
        <v>315</v>
      </c>
      <c r="J42" s="168" t="s">
        <v>299</v>
      </c>
      <c r="K42" s="70"/>
      <c r="L42" s="72" t="s">
        <v>582</v>
      </c>
      <c r="M42" s="76" t="s">
        <v>583</v>
      </c>
      <c r="N42" s="73"/>
      <c r="O42" s="74"/>
    </row>
    <row r="43" spans="1:15" ht="21" customHeight="1">
      <c r="A43" s="33">
        <v>39</v>
      </c>
      <c r="B43" s="63" t="s">
        <v>543</v>
      </c>
      <c r="C43" s="64" t="s">
        <v>584</v>
      </c>
      <c r="D43" s="63" t="s">
        <v>56</v>
      </c>
      <c r="E43" s="65">
        <v>119</v>
      </c>
      <c r="F43" s="243" t="s">
        <v>258</v>
      </c>
      <c r="G43" s="244" t="s">
        <v>405</v>
      </c>
      <c r="H43" s="244" t="s">
        <v>415</v>
      </c>
      <c r="I43" s="185" t="s">
        <v>285</v>
      </c>
      <c r="J43" s="168"/>
      <c r="K43" s="70"/>
      <c r="L43" s="246" t="s">
        <v>585</v>
      </c>
      <c r="M43" s="76"/>
      <c r="N43" s="73"/>
      <c r="O43" s="74"/>
    </row>
    <row r="44" spans="1:15" ht="21" customHeight="1">
      <c r="A44" s="33">
        <v>40</v>
      </c>
      <c r="B44" s="63" t="s">
        <v>543</v>
      </c>
      <c r="C44" s="64" t="s">
        <v>586</v>
      </c>
      <c r="D44" s="63" t="s">
        <v>56</v>
      </c>
      <c r="E44" s="65">
        <v>187</v>
      </c>
      <c r="F44" s="81" t="s">
        <v>559</v>
      </c>
      <c r="G44" s="33" t="s">
        <v>437</v>
      </c>
      <c r="H44" s="185" t="s">
        <v>285</v>
      </c>
      <c r="I44" s="33" t="s">
        <v>286</v>
      </c>
      <c r="J44" s="168"/>
      <c r="K44" s="70"/>
      <c r="L44" s="74"/>
      <c r="M44" s="76"/>
      <c r="N44" s="73"/>
      <c r="O44" s="74"/>
    </row>
    <row r="45" spans="1:15" ht="21" customHeight="1">
      <c r="A45" s="33">
        <v>41</v>
      </c>
      <c r="B45" s="123" t="s">
        <v>543</v>
      </c>
      <c r="C45" s="124" t="s">
        <v>587</v>
      </c>
      <c r="D45" s="123" t="s">
        <v>56</v>
      </c>
      <c r="E45" s="125">
        <v>173</v>
      </c>
      <c r="F45" s="126" t="s">
        <v>370</v>
      </c>
      <c r="G45" s="191" t="s">
        <v>588</v>
      </c>
      <c r="H45" s="185" t="s">
        <v>285</v>
      </c>
      <c r="I45" s="85" t="s">
        <v>390</v>
      </c>
      <c r="J45" s="173"/>
      <c r="K45" s="128"/>
      <c r="L45" s="130"/>
      <c r="M45" s="129"/>
      <c r="N45" s="131" t="s">
        <v>589</v>
      </c>
      <c r="O45" s="130"/>
    </row>
    <row r="46" spans="1:15" ht="21" customHeight="1">
      <c r="A46" s="33">
        <v>42</v>
      </c>
      <c r="B46" s="63" t="s">
        <v>590</v>
      </c>
      <c r="C46" s="64" t="s">
        <v>591</v>
      </c>
      <c r="D46" s="63" t="s">
        <v>56</v>
      </c>
      <c r="E46" s="65">
        <v>64</v>
      </c>
      <c r="F46" s="81" t="s">
        <v>371</v>
      </c>
      <c r="G46" s="33" t="s">
        <v>298</v>
      </c>
      <c r="H46" s="185" t="s">
        <v>285</v>
      </c>
      <c r="I46" s="33" t="s">
        <v>592</v>
      </c>
      <c r="J46" s="168"/>
      <c r="K46" s="70"/>
      <c r="L46" s="74"/>
      <c r="M46" s="76"/>
      <c r="N46" s="73"/>
      <c r="O46" s="74"/>
    </row>
    <row r="47" spans="1:15" ht="21" customHeight="1">
      <c r="A47" s="33">
        <v>43</v>
      </c>
      <c r="B47" s="63" t="s">
        <v>590</v>
      </c>
      <c r="C47" s="64" t="s">
        <v>593</v>
      </c>
      <c r="D47" s="63" t="s">
        <v>56</v>
      </c>
      <c r="E47" s="65">
        <v>149</v>
      </c>
      <c r="F47" s="81" t="s">
        <v>485</v>
      </c>
      <c r="G47" s="169" t="s">
        <v>594</v>
      </c>
      <c r="H47" s="244" t="s">
        <v>268</v>
      </c>
      <c r="I47" s="244" t="s">
        <v>550</v>
      </c>
      <c r="J47" s="168"/>
      <c r="K47" s="70"/>
      <c r="L47" s="74"/>
      <c r="M47" s="76"/>
      <c r="N47" s="73"/>
      <c r="O47" s="74"/>
    </row>
    <row r="48" spans="1:15" ht="21" customHeight="1">
      <c r="A48" s="33">
        <v>44</v>
      </c>
      <c r="B48" s="63" t="s">
        <v>595</v>
      </c>
      <c r="C48" s="64" t="s">
        <v>596</v>
      </c>
      <c r="D48" s="63" t="s">
        <v>56</v>
      </c>
      <c r="E48" s="65">
        <v>211</v>
      </c>
      <c r="F48" s="243" t="s">
        <v>268</v>
      </c>
      <c r="G48" s="244" t="s">
        <v>572</v>
      </c>
      <c r="H48" s="185" t="s">
        <v>285</v>
      </c>
      <c r="I48" s="244" t="s">
        <v>568</v>
      </c>
      <c r="J48" s="168"/>
      <c r="K48" s="70"/>
      <c r="L48" s="74"/>
      <c r="M48" s="76"/>
      <c r="N48" s="73"/>
      <c r="O48" s="74"/>
    </row>
    <row r="49" spans="1:15" ht="21" customHeight="1">
      <c r="A49" s="33">
        <v>45</v>
      </c>
      <c r="B49" s="63" t="s">
        <v>597</v>
      </c>
      <c r="C49" s="64" t="s">
        <v>598</v>
      </c>
      <c r="D49" s="63" t="s">
        <v>56</v>
      </c>
      <c r="E49" s="65">
        <v>201</v>
      </c>
      <c r="F49" s="81" t="s">
        <v>371</v>
      </c>
      <c r="G49" s="33" t="s">
        <v>415</v>
      </c>
      <c r="H49" s="185" t="s">
        <v>484</v>
      </c>
      <c r="I49" s="33" t="s">
        <v>390</v>
      </c>
      <c r="J49" s="168"/>
      <c r="K49" s="70"/>
      <c r="L49" s="74"/>
      <c r="M49" s="76"/>
      <c r="N49" s="73"/>
      <c r="O49" s="74"/>
    </row>
    <row r="50" spans="1:15" ht="21" customHeight="1">
      <c r="A50" s="33">
        <v>46</v>
      </c>
      <c r="B50" s="63" t="s">
        <v>599</v>
      </c>
      <c r="C50" s="64" t="s">
        <v>600</v>
      </c>
      <c r="D50" s="63" t="s">
        <v>56</v>
      </c>
      <c r="E50" s="65">
        <v>63</v>
      </c>
      <c r="F50" s="243" t="s">
        <v>371</v>
      </c>
      <c r="G50" s="244" t="s">
        <v>371</v>
      </c>
      <c r="H50" s="185" t="s">
        <v>484</v>
      </c>
      <c r="I50" s="244" t="s">
        <v>390</v>
      </c>
      <c r="J50" s="168"/>
      <c r="K50" s="70"/>
      <c r="L50" s="74"/>
      <c r="M50" s="76"/>
      <c r="N50" s="73"/>
      <c r="O50" s="74"/>
    </row>
    <row r="51" spans="1:15" ht="21" customHeight="1">
      <c r="A51" s="33">
        <v>47</v>
      </c>
      <c r="B51" s="63" t="s">
        <v>599</v>
      </c>
      <c r="C51" s="64" t="s">
        <v>601</v>
      </c>
      <c r="D51" s="63" t="s">
        <v>56</v>
      </c>
      <c r="E51" s="65">
        <v>152</v>
      </c>
      <c r="F51" s="81" t="s">
        <v>258</v>
      </c>
      <c r="G51" s="169" t="s">
        <v>602</v>
      </c>
      <c r="H51" s="33" t="s">
        <v>559</v>
      </c>
      <c r="I51" s="185" t="s">
        <v>285</v>
      </c>
      <c r="J51" s="168"/>
      <c r="K51" s="70"/>
      <c r="L51" s="74"/>
      <c r="M51" s="76"/>
      <c r="N51" s="73"/>
      <c r="O51" s="74"/>
    </row>
    <row r="52" spans="1:15" ht="21" customHeight="1">
      <c r="A52" s="33">
        <v>48</v>
      </c>
      <c r="B52" s="63" t="s">
        <v>599</v>
      </c>
      <c r="C52" s="64" t="s">
        <v>603</v>
      </c>
      <c r="D52" s="63" t="s">
        <v>77</v>
      </c>
      <c r="E52" s="65">
        <v>60</v>
      </c>
      <c r="F52" s="81" t="s">
        <v>604</v>
      </c>
      <c r="G52" s="33" t="s">
        <v>437</v>
      </c>
      <c r="H52" s="185" t="s">
        <v>285</v>
      </c>
      <c r="I52" s="33" t="s">
        <v>390</v>
      </c>
      <c r="J52" s="168"/>
      <c r="K52" s="70"/>
      <c r="L52" s="74"/>
      <c r="M52" s="76"/>
      <c r="N52" s="73"/>
      <c r="O52" s="74"/>
    </row>
    <row r="53" spans="1:15" ht="21" customHeight="1">
      <c r="A53" s="33">
        <v>49</v>
      </c>
      <c r="B53" s="63" t="s">
        <v>599</v>
      </c>
      <c r="C53" s="64" t="s">
        <v>605</v>
      </c>
      <c r="D53" s="63" t="s">
        <v>56</v>
      </c>
      <c r="E53" s="65">
        <v>198</v>
      </c>
      <c r="F53" s="243" t="s">
        <v>386</v>
      </c>
      <c r="G53" s="244" t="s">
        <v>368</v>
      </c>
      <c r="H53" s="185" t="s">
        <v>285</v>
      </c>
      <c r="I53" s="33" t="s">
        <v>286</v>
      </c>
      <c r="J53" s="168"/>
      <c r="K53" s="70"/>
      <c r="L53" s="74"/>
      <c r="M53" s="76"/>
      <c r="N53" s="73"/>
      <c r="O53" s="74"/>
    </row>
    <row r="54" spans="1:15" ht="21" customHeight="1">
      <c r="A54" s="33">
        <v>50</v>
      </c>
      <c r="B54" s="63" t="s">
        <v>597</v>
      </c>
      <c r="C54" s="64" t="s">
        <v>606</v>
      </c>
      <c r="D54" s="63" t="s">
        <v>77</v>
      </c>
      <c r="E54" s="65">
        <v>63</v>
      </c>
      <c r="F54" s="190" t="s">
        <v>285</v>
      </c>
      <c r="G54" s="33" t="s">
        <v>516</v>
      </c>
      <c r="H54" s="33" t="s">
        <v>395</v>
      </c>
      <c r="I54" s="33" t="s">
        <v>315</v>
      </c>
      <c r="J54" s="168"/>
      <c r="K54" s="70"/>
      <c r="L54" s="74"/>
      <c r="M54" s="76" t="s">
        <v>607</v>
      </c>
      <c r="N54" s="73"/>
      <c r="O54" s="74"/>
    </row>
    <row r="55" spans="1:15" ht="21" customHeight="1">
      <c r="A55" s="85">
        <v>51</v>
      </c>
      <c r="B55" s="123" t="s">
        <v>599</v>
      </c>
      <c r="C55" s="124" t="s">
        <v>608</v>
      </c>
      <c r="D55" s="123" t="s">
        <v>56</v>
      </c>
      <c r="E55" s="125">
        <v>77</v>
      </c>
      <c r="F55" s="202" t="s">
        <v>285</v>
      </c>
      <c r="G55" s="85" t="s">
        <v>609</v>
      </c>
      <c r="H55" s="247" t="s">
        <v>285</v>
      </c>
      <c r="I55" s="85" t="s">
        <v>610</v>
      </c>
      <c r="J55" s="173"/>
      <c r="K55" s="128"/>
      <c r="L55" s="130"/>
      <c r="M55" s="129"/>
      <c r="N55" s="131"/>
      <c r="O55" s="130"/>
    </row>
    <row r="56" spans="1:15" ht="21" customHeight="1">
      <c r="A56" s="33"/>
      <c r="B56" s="63"/>
      <c r="C56" s="132" t="s">
        <v>611</v>
      </c>
      <c r="D56" s="133"/>
      <c r="E56" s="134"/>
      <c r="F56" s="135">
        <v>6</v>
      </c>
      <c r="G56" s="135"/>
      <c r="H56" s="135">
        <v>16</v>
      </c>
      <c r="I56" s="135">
        <v>4</v>
      </c>
      <c r="J56" s="135"/>
      <c r="K56" s="74"/>
      <c r="L56" s="74"/>
      <c r="M56" s="76"/>
      <c r="N56" s="73"/>
      <c r="O56" s="74"/>
    </row>
    <row r="57" spans="1:15" ht="21" customHeight="1" thickBot="1">
      <c r="A57" s="137"/>
      <c r="B57" s="100"/>
      <c r="C57" s="138" t="s">
        <v>612</v>
      </c>
      <c r="D57" s="139"/>
      <c r="E57" s="140"/>
      <c r="F57" s="141"/>
      <c r="G57" s="141">
        <v>7</v>
      </c>
      <c r="H57" s="141">
        <v>1</v>
      </c>
      <c r="I57" s="141">
        <v>4</v>
      </c>
      <c r="J57" s="141"/>
      <c r="K57" s="109"/>
      <c r="L57" s="109"/>
      <c r="M57" s="108"/>
      <c r="N57" s="110"/>
      <c r="O57" s="109"/>
    </row>
    <row r="58" spans="1:15" ht="21" customHeight="1">
      <c r="A58" s="86">
        <v>52</v>
      </c>
      <c r="B58" s="87" t="s">
        <v>613</v>
      </c>
      <c r="C58" s="88" t="s">
        <v>614</v>
      </c>
      <c r="D58" s="87" t="s">
        <v>56</v>
      </c>
      <c r="E58" s="89">
        <v>56</v>
      </c>
      <c r="F58" s="90"/>
      <c r="G58" s="86"/>
      <c r="H58" s="86"/>
      <c r="I58" s="86"/>
      <c r="J58" s="167"/>
      <c r="K58" s="93"/>
      <c r="L58" s="95"/>
      <c r="M58" s="94"/>
      <c r="N58" s="96"/>
      <c r="O58" s="95"/>
    </row>
    <row r="59" spans="1:15" ht="21" customHeight="1">
      <c r="A59" s="33">
        <v>53</v>
      </c>
      <c r="B59" s="63" t="s">
        <v>613</v>
      </c>
      <c r="C59" s="64" t="s">
        <v>615</v>
      </c>
      <c r="D59" s="63" t="s">
        <v>56</v>
      </c>
      <c r="E59" s="65">
        <v>82</v>
      </c>
      <c r="F59" s="190" t="s">
        <v>484</v>
      </c>
      <c r="G59" s="33" t="s">
        <v>536</v>
      </c>
      <c r="H59" s="78" t="s">
        <v>285</v>
      </c>
      <c r="I59" s="33" t="s">
        <v>315</v>
      </c>
      <c r="J59" s="168"/>
      <c r="K59" s="70"/>
      <c r="L59" s="74"/>
      <c r="M59" s="76"/>
      <c r="N59" s="73"/>
      <c r="O59" s="74"/>
    </row>
    <row r="60" spans="1:15" ht="21" customHeight="1">
      <c r="A60" s="33">
        <v>54</v>
      </c>
      <c r="B60" s="63" t="s">
        <v>616</v>
      </c>
      <c r="C60" s="64" t="s">
        <v>617</v>
      </c>
      <c r="D60" s="63" t="s">
        <v>56</v>
      </c>
      <c r="E60" s="65">
        <v>9</v>
      </c>
      <c r="F60" s="81"/>
      <c r="G60" s="169" t="s">
        <v>618</v>
      </c>
      <c r="H60" s="33"/>
      <c r="I60" s="33"/>
      <c r="J60" s="168"/>
      <c r="K60" s="70"/>
      <c r="L60" s="74"/>
      <c r="M60" s="76"/>
      <c r="N60" s="73"/>
      <c r="O60" s="74"/>
    </row>
    <row r="61" spans="1:15" ht="21" customHeight="1">
      <c r="A61" s="33">
        <v>55</v>
      </c>
      <c r="B61" s="63" t="s">
        <v>619</v>
      </c>
      <c r="C61" s="64" t="s">
        <v>620</v>
      </c>
      <c r="D61" s="63" t="s">
        <v>77</v>
      </c>
      <c r="E61" s="65">
        <v>37</v>
      </c>
      <c r="F61" s="81" t="s">
        <v>422</v>
      </c>
      <c r="G61" s="33" t="s">
        <v>559</v>
      </c>
      <c r="H61" s="78" t="s">
        <v>285</v>
      </c>
      <c r="I61" s="33" t="s">
        <v>298</v>
      </c>
      <c r="J61" s="168"/>
      <c r="K61" s="70"/>
      <c r="L61" s="74"/>
      <c r="M61" s="76"/>
      <c r="N61" s="73"/>
      <c r="O61" s="74"/>
    </row>
    <row r="62" spans="1:15" ht="21" customHeight="1">
      <c r="A62" s="33">
        <v>56</v>
      </c>
      <c r="B62" s="63" t="s">
        <v>616</v>
      </c>
      <c r="C62" s="64" t="s">
        <v>621</v>
      </c>
      <c r="D62" s="63" t="s">
        <v>56</v>
      </c>
      <c r="E62" s="65">
        <v>18</v>
      </c>
      <c r="F62" s="243" t="s">
        <v>258</v>
      </c>
      <c r="G62" s="244" t="s">
        <v>371</v>
      </c>
      <c r="H62" s="78" t="s">
        <v>285</v>
      </c>
      <c r="I62" s="33" t="s">
        <v>390</v>
      </c>
      <c r="J62" s="168"/>
      <c r="K62" s="70"/>
      <c r="L62" s="74"/>
      <c r="M62" s="76"/>
      <c r="N62" s="73"/>
      <c r="O62" s="74"/>
    </row>
    <row r="63" spans="1:15" ht="21" customHeight="1">
      <c r="A63" s="33">
        <v>57</v>
      </c>
      <c r="B63" s="63" t="s">
        <v>616</v>
      </c>
      <c r="C63" s="64" t="s">
        <v>622</v>
      </c>
      <c r="D63" s="63" t="s">
        <v>77</v>
      </c>
      <c r="E63" s="65">
        <v>41</v>
      </c>
      <c r="F63" s="81"/>
      <c r="G63" s="33"/>
      <c r="H63" s="33"/>
      <c r="I63" s="33"/>
      <c r="J63" s="170">
        <v>35</v>
      </c>
      <c r="K63" s="70"/>
      <c r="L63" s="74"/>
      <c r="M63" s="76"/>
      <c r="N63" s="73"/>
      <c r="O63" s="74"/>
    </row>
    <row r="64" spans="1:15" ht="21" customHeight="1">
      <c r="A64" s="33">
        <v>58</v>
      </c>
      <c r="B64" s="63" t="s">
        <v>616</v>
      </c>
      <c r="C64" s="64" t="s">
        <v>623</v>
      </c>
      <c r="D64" s="63" t="s">
        <v>77</v>
      </c>
      <c r="E64" s="65">
        <v>14</v>
      </c>
      <c r="F64" s="81" t="s">
        <v>349</v>
      </c>
      <c r="G64" s="33" t="s">
        <v>624</v>
      </c>
      <c r="H64" s="33" t="s">
        <v>298</v>
      </c>
      <c r="I64" s="169">
        <v>16</v>
      </c>
      <c r="J64" s="168" t="s">
        <v>395</v>
      </c>
      <c r="K64" s="70"/>
      <c r="L64" s="74"/>
      <c r="M64" s="76"/>
      <c r="N64" s="73"/>
      <c r="O64" s="74"/>
    </row>
    <row r="65" spans="1:15" ht="21" customHeight="1">
      <c r="A65" s="33">
        <v>59</v>
      </c>
      <c r="B65" s="63" t="s">
        <v>616</v>
      </c>
      <c r="C65" s="64" t="s">
        <v>625</v>
      </c>
      <c r="D65" s="63" t="s">
        <v>77</v>
      </c>
      <c r="E65" s="79">
        <v>189</v>
      </c>
      <c r="F65" s="243" t="s">
        <v>370</v>
      </c>
      <c r="G65" s="244" t="s">
        <v>559</v>
      </c>
      <c r="H65" s="169">
        <v>222</v>
      </c>
      <c r="I65" s="244" t="s">
        <v>390</v>
      </c>
      <c r="J65" s="248" t="s">
        <v>626</v>
      </c>
      <c r="K65" s="70"/>
      <c r="L65" s="74"/>
      <c r="M65" s="76"/>
      <c r="N65" s="73"/>
      <c r="O65" s="74"/>
    </row>
    <row r="66" spans="1:15" ht="21" customHeight="1">
      <c r="A66" s="33">
        <v>60</v>
      </c>
      <c r="B66" s="63" t="s">
        <v>616</v>
      </c>
      <c r="C66" s="64" t="s">
        <v>627</v>
      </c>
      <c r="D66" s="63" t="s">
        <v>77</v>
      </c>
      <c r="E66" s="79">
        <v>145</v>
      </c>
      <c r="F66" s="81" t="s">
        <v>349</v>
      </c>
      <c r="G66" s="33" t="s">
        <v>395</v>
      </c>
      <c r="H66" s="33" t="s">
        <v>422</v>
      </c>
      <c r="I66" s="33" t="s">
        <v>315</v>
      </c>
      <c r="J66" s="249" t="s">
        <v>628</v>
      </c>
      <c r="K66" s="70"/>
      <c r="L66" s="74"/>
      <c r="M66" s="76"/>
      <c r="N66" s="73"/>
      <c r="O66" s="74"/>
    </row>
    <row r="67" spans="1:15" ht="21" customHeight="1">
      <c r="A67" s="85">
        <v>61</v>
      </c>
      <c r="B67" s="123" t="s">
        <v>616</v>
      </c>
      <c r="C67" s="124" t="s">
        <v>629</v>
      </c>
      <c r="D67" s="123" t="s">
        <v>56</v>
      </c>
      <c r="E67" s="125">
        <v>24</v>
      </c>
      <c r="F67" s="126" t="s">
        <v>298</v>
      </c>
      <c r="G67" s="85" t="s">
        <v>545</v>
      </c>
      <c r="H67" s="157" t="s">
        <v>285</v>
      </c>
      <c r="I67" s="157" t="s">
        <v>285</v>
      </c>
      <c r="J67" s="173"/>
      <c r="K67" s="128"/>
      <c r="L67" s="130"/>
      <c r="M67" s="129"/>
      <c r="N67" s="131"/>
      <c r="O67" s="130"/>
    </row>
    <row r="68" spans="1:15" ht="21" customHeight="1">
      <c r="A68" s="178"/>
      <c r="B68" s="179"/>
      <c r="C68" s="132" t="s">
        <v>541</v>
      </c>
      <c r="D68" s="133"/>
      <c r="E68" s="134"/>
      <c r="F68" s="135">
        <v>1</v>
      </c>
      <c r="G68" s="135"/>
      <c r="H68" s="163">
        <v>4</v>
      </c>
      <c r="I68" s="163">
        <v>1</v>
      </c>
      <c r="J68" s="250"/>
      <c r="K68" s="251"/>
      <c r="L68" s="252"/>
      <c r="M68" s="253"/>
      <c r="N68" s="254"/>
      <c r="O68" s="252"/>
    </row>
    <row r="69" spans="1:15" ht="21" customHeight="1" thickBot="1">
      <c r="A69" s="178"/>
      <c r="B69" s="179"/>
      <c r="C69" s="138" t="s">
        <v>612</v>
      </c>
      <c r="D69" s="139"/>
      <c r="E69" s="140"/>
      <c r="F69" s="141"/>
      <c r="G69" s="141">
        <v>1</v>
      </c>
      <c r="H69" s="164">
        <v>1</v>
      </c>
      <c r="I69" s="164">
        <v>1</v>
      </c>
      <c r="J69" s="255">
        <v>3</v>
      </c>
      <c r="K69" s="251"/>
      <c r="L69" s="252"/>
      <c r="M69" s="253"/>
      <c r="N69" s="254"/>
      <c r="O69" s="252"/>
    </row>
    <row r="70" spans="1:15" ht="21" customHeight="1">
      <c r="A70" s="86">
        <v>62</v>
      </c>
      <c r="B70" s="87" t="s">
        <v>630</v>
      </c>
      <c r="C70" s="88" t="s">
        <v>421</v>
      </c>
      <c r="D70" s="87" t="s">
        <v>77</v>
      </c>
      <c r="E70" s="89">
        <v>15</v>
      </c>
      <c r="F70" s="240" t="s">
        <v>610</v>
      </c>
      <c r="G70" s="241" t="s">
        <v>368</v>
      </c>
      <c r="H70" s="91" t="s">
        <v>484</v>
      </c>
      <c r="I70" s="241" t="s">
        <v>390</v>
      </c>
      <c r="J70" s="167"/>
      <c r="K70" s="93"/>
      <c r="L70" s="95"/>
      <c r="M70" s="94"/>
      <c r="N70" s="96"/>
      <c r="O70" s="95"/>
    </row>
    <row r="71" spans="1:15" ht="21" customHeight="1">
      <c r="A71" s="33">
        <v>63</v>
      </c>
      <c r="B71" s="63" t="s">
        <v>631</v>
      </c>
      <c r="C71" s="64" t="s">
        <v>632</v>
      </c>
      <c r="D71" s="63" t="s">
        <v>77</v>
      </c>
      <c r="E71" s="65">
        <v>22</v>
      </c>
      <c r="F71" s="207" t="s">
        <v>633</v>
      </c>
      <c r="G71" s="33" t="s">
        <v>415</v>
      </c>
      <c r="H71" s="169">
        <v>30</v>
      </c>
      <c r="I71" s="33" t="s">
        <v>592</v>
      </c>
      <c r="J71" s="168" t="s">
        <v>395</v>
      </c>
      <c r="K71" s="70"/>
      <c r="L71" s="74"/>
      <c r="M71" s="76"/>
      <c r="N71" s="73"/>
      <c r="O71" s="74"/>
    </row>
    <row r="72" spans="1:15" ht="21" customHeight="1">
      <c r="A72" s="33">
        <v>64</v>
      </c>
      <c r="B72" s="63" t="s">
        <v>630</v>
      </c>
      <c r="C72" s="64" t="s">
        <v>634</v>
      </c>
      <c r="D72" s="63" t="s">
        <v>77</v>
      </c>
      <c r="E72" s="65">
        <v>111</v>
      </c>
      <c r="F72" s="243" t="s">
        <v>258</v>
      </c>
      <c r="G72" s="244" t="s">
        <v>437</v>
      </c>
      <c r="H72" s="33" t="s">
        <v>516</v>
      </c>
      <c r="I72" s="169">
        <v>100</v>
      </c>
      <c r="J72" s="168"/>
      <c r="K72" s="70"/>
      <c r="L72" s="74"/>
      <c r="M72" s="76"/>
      <c r="N72" s="73"/>
      <c r="O72" s="74"/>
    </row>
    <row r="73" spans="1:15" ht="21" customHeight="1">
      <c r="A73" s="33">
        <v>65</v>
      </c>
      <c r="B73" s="63" t="s">
        <v>630</v>
      </c>
      <c r="C73" s="64" t="s">
        <v>635</v>
      </c>
      <c r="D73" s="63" t="s">
        <v>56</v>
      </c>
      <c r="E73" s="65">
        <v>158</v>
      </c>
      <c r="F73" s="243" t="s">
        <v>361</v>
      </c>
      <c r="G73" s="244" t="s">
        <v>415</v>
      </c>
      <c r="H73" s="78" t="s">
        <v>285</v>
      </c>
      <c r="I73" s="78" t="s">
        <v>285</v>
      </c>
      <c r="J73" s="168"/>
      <c r="K73" s="70"/>
      <c r="L73" s="74"/>
      <c r="M73" s="76"/>
      <c r="N73" s="73"/>
      <c r="O73" s="74"/>
    </row>
    <row r="74" spans="1:15" ht="21" customHeight="1">
      <c r="A74" s="33">
        <v>66</v>
      </c>
      <c r="B74" s="63" t="s">
        <v>630</v>
      </c>
      <c r="C74" s="64" t="s">
        <v>636</v>
      </c>
      <c r="D74" s="63" t="s">
        <v>77</v>
      </c>
      <c r="E74" s="65">
        <v>16</v>
      </c>
      <c r="F74" s="243" t="s">
        <v>609</v>
      </c>
      <c r="G74" s="244" t="s">
        <v>415</v>
      </c>
      <c r="H74" s="244" t="s">
        <v>371</v>
      </c>
      <c r="I74" s="78" t="s">
        <v>285</v>
      </c>
      <c r="J74" s="168"/>
      <c r="K74" s="70"/>
      <c r="L74" s="74"/>
      <c r="M74" s="76"/>
      <c r="N74" s="256"/>
      <c r="O74" s="74"/>
    </row>
    <row r="75" spans="1:15" ht="21" customHeight="1" thickBot="1">
      <c r="A75" s="85">
        <v>67</v>
      </c>
      <c r="B75" s="123" t="s">
        <v>630</v>
      </c>
      <c r="C75" s="124" t="s">
        <v>637</v>
      </c>
      <c r="D75" s="123" t="s">
        <v>56</v>
      </c>
      <c r="E75" s="125">
        <v>15</v>
      </c>
      <c r="F75" s="257" t="s">
        <v>371</v>
      </c>
      <c r="G75" s="258" t="s">
        <v>268</v>
      </c>
      <c r="H75" s="258" t="s">
        <v>371</v>
      </c>
      <c r="I75" s="191">
        <v>11</v>
      </c>
      <c r="J75" s="173"/>
      <c r="K75" s="128"/>
      <c r="L75" s="130"/>
      <c r="M75" s="129"/>
      <c r="N75" s="259"/>
      <c r="O75" s="130"/>
    </row>
    <row r="76" spans="1:15" ht="21" customHeight="1">
      <c r="A76" s="86">
        <v>68</v>
      </c>
      <c r="B76" s="87" t="s">
        <v>638</v>
      </c>
      <c r="C76" s="88" t="s">
        <v>639</v>
      </c>
      <c r="D76" s="87" t="s">
        <v>56</v>
      </c>
      <c r="E76" s="89">
        <v>18</v>
      </c>
      <c r="F76" s="240" t="s">
        <v>640</v>
      </c>
      <c r="G76" s="241" t="s">
        <v>368</v>
      </c>
      <c r="H76" s="193">
        <v>30</v>
      </c>
      <c r="I76" s="86" t="s">
        <v>390</v>
      </c>
      <c r="J76" s="167"/>
      <c r="K76" s="93"/>
      <c r="L76" s="95"/>
      <c r="M76" s="94"/>
      <c r="N76" s="260"/>
      <c r="O76" s="95"/>
    </row>
    <row r="77" spans="1:15" ht="21" customHeight="1">
      <c r="A77" s="33">
        <v>69</v>
      </c>
      <c r="B77" s="63" t="s">
        <v>638</v>
      </c>
      <c r="C77" s="64" t="s">
        <v>340</v>
      </c>
      <c r="D77" s="63" t="s">
        <v>56</v>
      </c>
      <c r="E77" s="65">
        <v>116</v>
      </c>
      <c r="F77" s="243" t="s">
        <v>386</v>
      </c>
      <c r="G77" s="244" t="s">
        <v>437</v>
      </c>
      <c r="H77" s="78" t="s">
        <v>484</v>
      </c>
      <c r="I77" s="244" t="s">
        <v>390</v>
      </c>
      <c r="J77" s="168"/>
      <c r="K77" s="70"/>
      <c r="L77" s="74"/>
      <c r="M77" s="76"/>
      <c r="N77" s="256" t="s">
        <v>641</v>
      </c>
      <c r="O77" s="74"/>
    </row>
    <row r="78" spans="1:15" ht="21" customHeight="1">
      <c r="A78" s="33">
        <v>70</v>
      </c>
      <c r="B78" s="63" t="s">
        <v>638</v>
      </c>
      <c r="C78" s="64" t="s">
        <v>642</v>
      </c>
      <c r="D78" s="63" t="s">
        <v>56</v>
      </c>
      <c r="E78" s="65">
        <v>65</v>
      </c>
      <c r="F78" s="243" t="s">
        <v>610</v>
      </c>
      <c r="G78" s="244" t="s">
        <v>643</v>
      </c>
      <c r="H78" s="261" t="s">
        <v>644</v>
      </c>
      <c r="I78" s="244" t="s">
        <v>371</v>
      </c>
      <c r="J78" s="168" t="s">
        <v>395</v>
      </c>
      <c r="K78" s="70"/>
      <c r="L78" s="74"/>
      <c r="M78" s="76"/>
      <c r="N78" s="256"/>
      <c r="O78" s="74"/>
    </row>
    <row r="79" spans="1:15" ht="21" customHeight="1">
      <c r="A79" s="33">
        <v>71</v>
      </c>
      <c r="B79" s="63" t="s">
        <v>638</v>
      </c>
      <c r="C79" s="64" t="s">
        <v>645</v>
      </c>
      <c r="D79" s="63" t="s">
        <v>56</v>
      </c>
      <c r="E79" s="79">
        <v>288</v>
      </c>
      <c r="F79" s="243" t="s">
        <v>559</v>
      </c>
      <c r="G79" s="244" t="s">
        <v>572</v>
      </c>
      <c r="H79" s="169">
        <v>302</v>
      </c>
      <c r="I79" s="33" t="s">
        <v>390</v>
      </c>
      <c r="J79" s="168"/>
      <c r="K79" s="70"/>
      <c r="L79" s="74"/>
      <c r="M79" s="76"/>
      <c r="N79" s="256"/>
      <c r="O79" s="74"/>
    </row>
    <row r="80" spans="1:15" ht="21" customHeight="1">
      <c r="A80" s="33">
        <v>72</v>
      </c>
      <c r="B80" s="63" t="s">
        <v>638</v>
      </c>
      <c r="C80" s="64" t="s">
        <v>646</v>
      </c>
      <c r="D80" s="63" t="s">
        <v>56</v>
      </c>
      <c r="E80" s="65">
        <v>16</v>
      </c>
      <c r="F80" s="243" t="s">
        <v>268</v>
      </c>
      <c r="G80" s="244" t="s">
        <v>371</v>
      </c>
      <c r="H80" s="261" t="s">
        <v>644</v>
      </c>
      <c r="I80" s="244" t="s">
        <v>647</v>
      </c>
      <c r="J80" s="168"/>
      <c r="K80" s="70"/>
      <c r="L80" s="74"/>
      <c r="M80" s="76"/>
      <c r="N80" s="256"/>
      <c r="O80" s="74"/>
    </row>
    <row r="81" spans="1:15" ht="21" customHeight="1">
      <c r="A81" s="33">
        <v>73</v>
      </c>
      <c r="B81" s="63" t="s">
        <v>648</v>
      </c>
      <c r="C81" s="64" t="s">
        <v>649</v>
      </c>
      <c r="D81" s="63" t="s">
        <v>56</v>
      </c>
      <c r="E81" s="79">
        <v>222</v>
      </c>
      <c r="F81" s="81" t="s">
        <v>650</v>
      </c>
      <c r="G81" s="33" t="s">
        <v>568</v>
      </c>
      <c r="H81" s="78" t="s">
        <v>285</v>
      </c>
      <c r="I81" s="33" t="s">
        <v>610</v>
      </c>
      <c r="J81" s="168"/>
      <c r="K81" s="70"/>
      <c r="L81" s="74"/>
      <c r="M81" s="76"/>
      <c r="N81" s="256"/>
      <c r="O81" s="74"/>
    </row>
    <row r="82" spans="1:15" ht="21" customHeight="1">
      <c r="A82" s="33">
        <v>74</v>
      </c>
      <c r="B82" s="63" t="s">
        <v>638</v>
      </c>
      <c r="C82" s="64" t="s">
        <v>651</v>
      </c>
      <c r="D82" s="63" t="s">
        <v>56</v>
      </c>
      <c r="E82" s="79">
        <v>243</v>
      </c>
      <c r="F82" s="243" t="s">
        <v>545</v>
      </c>
      <c r="G82" s="244" t="s">
        <v>437</v>
      </c>
      <c r="H82" s="169">
        <v>252</v>
      </c>
      <c r="I82" s="78" t="s">
        <v>285</v>
      </c>
      <c r="J82" s="168"/>
      <c r="K82" s="70"/>
      <c r="L82" s="74"/>
      <c r="M82" s="76"/>
      <c r="N82" s="256"/>
      <c r="O82" s="74"/>
    </row>
    <row r="83" spans="1:15" ht="21" customHeight="1">
      <c r="A83" s="33">
        <v>75</v>
      </c>
      <c r="B83" s="63" t="s">
        <v>638</v>
      </c>
      <c r="C83" s="64" t="s">
        <v>652</v>
      </c>
      <c r="D83" s="63" t="s">
        <v>77</v>
      </c>
      <c r="E83" s="65">
        <v>131</v>
      </c>
      <c r="F83" s="243" t="s">
        <v>371</v>
      </c>
      <c r="G83" s="244" t="s">
        <v>415</v>
      </c>
      <c r="H83" s="169">
        <v>236</v>
      </c>
      <c r="I83" s="33" t="s">
        <v>390</v>
      </c>
      <c r="J83" s="168"/>
      <c r="K83" s="70"/>
      <c r="L83" s="74"/>
      <c r="M83" s="76"/>
      <c r="N83" s="256"/>
      <c r="O83" s="74"/>
    </row>
    <row r="84" spans="1:15" ht="21" customHeight="1">
      <c r="A84" s="33">
        <v>76</v>
      </c>
      <c r="B84" s="63" t="s">
        <v>638</v>
      </c>
      <c r="C84" s="64" t="s">
        <v>653</v>
      </c>
      <c r="D84" s="63" t="s">
        <v>56</v>
      </c>
      <c r="E84" s="79">
        <v>376</v>
      </c>
      <c r="F84" s="243" t="s">
        <v>370</v>
      </c>
      <c r="G84" s="244" t="s">
        <v>368</v>
      </c>
      <c r="H84" s="78" t="s">
        <v>285</v>
      </c>
      <c r="I84" s="244" t="s">
        <v>654</v>
      </c>
      <c r="J84" s="168"/>
      <c r="K84" s="70"/>
      <c r="L84" s="74"/>
      <c r="M84" s="76"/>
      <c r="N84" s="256"/>
      <c r="O84" s="74"/>
    </row>
    <row r="85" spans="1:15" ht="21" customHeight="1">
      <c r="A85" s="85">
        <v>77</v>
      </c>
      <c r="B85" s="123" t="s">
        <v>638</v>
      </c>
      <c r="C85" s="124" t="s">
        <v>655</v>
      </c>
      <c r="D85" s="123" t="s">
        <v>56</v>
      </c>
      <c r="E85" s="176">
        <v>233</v>
      </c>
      <c r="F85" s="257" t="s">
        <v>415</v>
      </c>
      <c r="G85" s="258" t="s">
        <v>371</v>
      </c>
      <c r="H85" s="258" t="s">
        <v>656</v>
      </c>
      <c r="I85" s="157" t="s">
        <v>285</v>
      </c>
      <c r="J85" s="173"/>
      <c r="K85" s="128"/>
      <c r="L85" s="130"/>
      <c r="M85" s="129"/>
      <c r="N85" s="259"/>
      <c r="O85" s="130"/>
    </row>
    <row r="86" spans="1:15" ht="21" customHeight="1">
      <c r="A86" s="178"/>
      <c r="B86" s="179"/>
      <c r="C86" s="132" t="s">
        <v>541</v>
      </c>
      <c r="D86" s="133"/>
      <c r="E86" s="134"/>
      <c r="F86" s="262"/>
      <c r="G86" s="262"/>
      <c r="H86" s="262">
        <v>5</v>
      </c>
      <c r="I86" s="163">
        <v>4</v>
      </c>
      <c r="J86" s="250"/>
      <c r="K86" s="251"/>
      <c r="L86" s="252"/>
      <c r="M86" s="263"/>
      <c r="N86" s="264"/>
      <c r="O86" s="252"/>
    </row>
    <row r="87" spans="1:15" ht="21" customHeight="1" thickBot="1">
      <c r="A87" s="178"/>
      <c r="B87" s="179"/>
      <c r="C87" s="138" t="s">
        <v>612</v>
      </c>
      <c r="D87" s="139"/>
      <c r="E87" s="140"/>
      <c r="F87" s="265">
        <v>1</v>
      </c>
      <c r="G87" s="265"/>
      <c r="H87" s="265">
        <v>7</v>
      </c>
      <c r="I87" s="164">
        <v>2</v>
      </c>
      <c r="J87" s="255"/>
      <c r="K87" s="251"/>
      <c r="L87" s="252"/>
      <c r="M87" s="263"/>
      <c r="N87" s="264"/>
      <c r="O87" s="252"/>
    </row>
    <row r="88" spans="1:15" ht="21" customHeight="1">
      <c r="A88" s="86">
        <v>78</v>
      </c>
      <c r="B88" s="87" t="s">
        <v>657</v>
      </c>
      <c r="C88" s="88" t="s">
        <v>658</v>
      </c>
      <c r="D88" s="87" t="s">
        <v>56</v>
      </c>
      <c r="E88" s="166">
        <v>377</v>
      </c>
      <c r="F88" s="90" t="s">
        <v>650</v>
      </c>
      <c r="G88" s="86" t="s">
        <v>395</v>
      </c>
      <c r="H88" s="242" t="s">
        <v>484</v>
      </c>
      <c r="I88" s="242" t="s">
        <v>285</v>
      </c>
      <c r="J88" s="167" t="s">
        <v>299</v>
      </c>
      <c r="K88" s="93"/>
      <c r="L88" s="95"/>
      <c r="M88" s="266"/>
      <c r="N88" s="95"/>
      <c r="O88" s="95"/>
    </row>
    <row r="89" spans="1:15" ht="21" customHeight="1">
      <c r="A89" s="33">
        <v>79</v>
      </c>
      <c r="B89" s="63" t="s">
        <v>657</v>
      </c>
      <c r="C89" s="64" t="s">
        <v>659</v>
      </c>
      <c r="D89" s="63" t="s">
        <v>56</v>
      </c>
      <c r="E89" s="65">
        <v>42</v>
      </c>
      <c r="F89" s="243" t="s">
        <v>386</v>
      </c>
      <c r="G89" s="244" t="s">
        <v>437</v>
      </c>
      <c r="H89" s="185" t="s">
        <v>285</v>
      </c>
      <c r="I89" s="185" t="s">
        <v>285</v>
      </c>
      <c r="J89" s="168"/>
      <c r="K89" s="70"/>
      <c r="L89" s="74"/>
      <c r="M89" s="267"/>
      <c r="N89" s="74"/>
      <c r="O89" s="74"/>
    </row>
    <row r="90" spans="1:15" ht="21" customHeight="1">
      <c r="A90" s="33">
        <v>80</v>
      </c>
      <c r="B90" s="63" t="s">
        <v>660</v>
      </c>
      <c r="C90" s="64" t="s">
        <v>661</v>
      </c>
      <c r="D90" s="63" t="s">
        <v>56</v>
      </c>
      <c r="E90" s="79">
        <v>333</v>
      </c>
      <c r="F90" s="81" t="s">
        <v>286</v>
      </c>
      <c r="G90" s="169" t="s">
        <v>662</v>
      </c>
      <c r="H90" s="185" t="s">
        <v>484</v>
      </c>
      <c r="I90" s="185" t="s">
        <v>285</v>
      </c>
      <c r="J90" s="168" t="s">
        <v>299</v>
      </c>
      <c r="K90" s="70"/>
      <c r="L90" s="74"/>
      <c r="M90" s="267"/>
      <c r="N90" s="74"/>
      <c r="O90" s="74"/>
    </row>
    <row r="91" spans="1:15" ht="21" customHeight="1">
      <c r="A91" s="33">
        <v>81</v>
      </c>
      <c r="B91" s="63" t="s">
        <v>660</v>
      </c>
      <c r="C91" s="64" t="s">
        <v>663</v>
      </c>
      <c r="D91" s="63" t="s">
        <v>56</v>
      </c>
      <c r="E91" s="65">
        <v>291</v>
      </c>
      <c r="F91" s="84" t="s">
        <v>285</v>
      </c>
      <c r="G91" s="169" t="s">
        <v>664</v>
      </c>
      <c r="H91" s="185" t="s">
        <v>285</v>
      </c>
      <c r="I91" s="185" t="s">
        <v>285</v>
      </c>
      <c r="J91" s="168"/>
      <c r="K91" s="70"/>
      <c r="L91" s="74"/>
      <c r="M91" s="267"/>
      <c r="N91" s="74" t="s">
        <v>665</v>
      </c>
      <c r="O91" s="74"/>
    </row>
    <row r="92" spans="1:15" ht="21" customHeight="1">
      <c r="A92" s="33">
        <v>82</v>
      </c>
      <c r="B92" s="63" t="s">
        <v>660</v>
      </c>
      <c r="C92" s="64" t="s">
        <v>666</v>
      </c>
      <c r="D92" s="63" t="s">
        <v>56</v>
      </c>
      <c r="E92" s="79">
        <v>378</v>
      </c>
      <c r="F92" s="243" t="s">
        <v>268</v>
      </c>
      <c r="G92" s="244" t="s">
        <v>405</v>
      </c>
      <c r="H92" s="185" t="s">
        <v>285</v>
      </c>
      <c r="I92" s="185" t="s">
        <v>285</v>
      </c>
      <c r="J92" s="168"/>
      <c r="K92" s="70"/>
      <c r="L92" s="74"/>
      <c r="M92" s="267"/>
      <c r="N92" s="74"/>
      <c r="O92" s="74"/>
    </row>
    <row r="93" spans="1:15" ht="21" customHeight="1">
      <c r="A93" s="33">
        <v>83</v>
      </c>
      <c r="B93" s="63" t="s">
        <v>660</v>
      </c>
      <c r="C93" s="64" t="s">
        <v>667</v>
      </c>
      <c r="D93" s="63" t="s">
        <v>56</v>
      </c>
      <c r="E93" s="79">
        <v>443</v>
      </c>
      <c r="F93" s="81" t="s">
        <v>668</v>
      </c>
      <c r="G93" s="169" t="s">
        <v>669</v>
      </c>
      <c r="H93" s="169">
        <v>431</v>
      </c>
      <c r="I93" s="185" t="s">
        <v>285</v>
      </c>
      <c r="J93" s="168"/>
      <c r="K93" s="70"/>
      <c r="L93" s="72" t="s">
        <v>670</v>
      </c>
      <c r="M93" s="267"/>
      <c r="N93" s="153"/>
      <c r="O93" s="74"/>
    </row>
    <row r="94" spans="1:15" ht="21" customHeight="1" thickBot="1">
      <c r="A94" s="85">
        <v>84</v>
      </c>
      <c r="B94" s="123" t="s">
        <v>660</v>
      </c>
      <c r="C94" s="124" t="s">
        <v>671</v>
      </c>
      <c r="D94" s="123" t="s">
        <v>56</v>
      </c>
      <c r="E94" s="176">
        <v>318</v>
      </c>
      <c r="F94" s="126" t="s">
        <v>258</v>
      </c>
      <c r="G94" s="85" t="s">
        <v>286</v>
      </c>
      <c r="H94" s="247" t="s">
        <v>285</v>
      </c>
      <c r="I94" s="85" t="s">
        <v>286</v>
      </c>
      <c r="J94" s="173"/>
      <c r="K94" s="128"/>
      <c r="L94" s="130"/>
      <c r="M94" s="268"/>
      <c r="N94" s="130" t="s">
        <v>672</v>
      </c>
      <c r="O94" s="130"/>
    </row>
    <row r="95" spans="1:15" ht="21" customHeight="1">
      <c r="A95" s="86">
        <v>85</v>
      </c>
      <c r="B95" s="87" t="s">
        <v>673</v>
      </c>
      <c r="C95" s="88" t="s">
        <v>674</v>
      </c>
      <c r="D95" s="87" t="s">
        <v>56</v>
      </c>
      <c r="E95" s="89">
        <v>254</v>
      </c>
      <c r="F95" s="160" t="s">
        <v>285</v>
      </c>
      <c r="G95" s="241" t="s">
        <v>374</v>
      </c>
      <c r="H95" s="193">
        <v>254</v>
      </c>
      <c r="I95" s="86" t="s">
        <v>286</v>
      </c>
      <c r="J95" s="167"/>
      <c r="K95" s="93"/>
      <c r="L95" s="95"/>
      <c r="M95" s="266"/>
      <c r="N95" s="95"/>
      <c r="O95" s="95"/>
    </row>
    <row r="96" spans="1:15" ht="21" customHeight="1">
      <c r="A96" s="33">
        <v>86</v>
      </c>
      <c r="B96" s="63" t="s">
        <v>673</v>
      </c>
      <c r="C96" s="64" t="s">
        <v>675</v>
      </c>
      <c r="D96" s="63" t="s">
        <v>56</v>
      </c>
      <c r="E96" s="65">
        <v>69</v>
      </c>
      <c r="F96" s="243" t="s">
        <v>258</v>
      </c>
      <c r="G96" s="244" t="s">
        <v>371</v>
      </c>
      <c r="H96" s="185" t="s">
        <v>285</v>
      </c>
      <c r="I96" s="244" t="s">
        <v>390</v>
      </c>
      <c r="J96" s="168"/>
      <c r="K96" s="70"/>
      <c r="L96" s="74"/>
      <c r="M96" s="267"/>
      <c r="N96" s="205"/>
      <c r="O96" s="74"/>
    </row>
    <row r="97" spans="1:15" ht="21" customHeight="1">
      <c r="A97" s="33">
        <v>87</v>
      </c>
      <c r="B97" s="63" t="s">
        <v>673</v>
      </c>
      <c r="C97" s="64" t="s">
        <v>676</v>
      </c>
      <c r="D97" s="63" t="s">
        <v>56</v>
      </c>
      <c r="E97" s="79">
        <v>443</v>
      </c>
      <c r="F97" s="81" t="s">
        <v>501</v>
      </c>
      <c r="G97" s="33" t="s">
        <v>303</v>
      </c>
      <c r="H97" s="152" t="s">
        <v>677</v>
      </c>
      <c r="I97" s="33" t="s">
        <v>286</v>
      </c>
      <c r="J97" s="168" t="s">
        <v>299</v>
      </c>
      <c r="K97" s="70"/>
      <c r="L97" s="74"/>
      <c r="M97" s="269" t="s">
        <v>678</v>
      </c>
      <c r="N97" s="205"/>
      <c r="O97" s="74"/>
    </row>
    <row r="98" spans="1:15" ht="21" customHeight="1">
      <c r="A98" s="33">
        <v>88</v>
      </c>
      <c r="B98" s="63" t="s">
        <v>673</v>
      </c>
      <c r="C98" s="64" t="s">
        <v>679</v>
      </c>
      <c r="D98" s="63" t="s">
        <v>56</v>
      </c>
      <c r="E98" s="79">
        <v>445</v>
      </c>
      <c r="F98" s="207" t="s">
        <v>680</v>
      </c>
      <c r="G98" s="33" t="s">
        <v>681</v>
      </c>
      <c r="H98" s="33" t="s">
        <v>395</v>
      </c>
      <c r="I98" s="33" t="s">
        <v>315</v>
      </c>
      <c r="J98" s="168" t="s">
        <v>299</v>
      </c>
      <c r="K98" s="70"/>
      <c r="L98" s="74"/>
      <c r="M98" s="267"/>
      <c r="N98" s="205"/>
      <c r="O98" s="74"/>
    </row>
    <row r="99" spans="1:15" ht="21" customHeight="1">
      <c r="A99" s="33">
        <v>89</v>
      </c>
      <c r="B99" s="63" t="s">
        <v>673</v>
      </c>
      <c r="C99" s="64" t="s">
        <v>682</v>
      </c>
      <c r="D99" s="63" t="s">
        <v>56</v>
      </c>
      <c r="E99" s="79">
        <v>440</v>
      </c>
      <c r="F99" s="207" t="s">
        <v>683</v>
      </c>
      <c r="G99" s="33" t="s">
        <v>395</v>
      </c>
      <c r="H99" s="33" t="s">
        <v>286</v>
      </c>
      <c r="I99" s="33" t="s">
        <v>315</v>
      </c>
      <c r="J99" s="168" t="s">
        <v>487</v>
      </c>
      <c r="K99" s="70"/>
      <c r="L99" s="151" t="s">
        <v>684</v>
      </c>
      <c r="M99" s="267"/>
      <c r="N99" s="205"/>
      <c r="O99" s="74"/>
    </row>
    <row r="100" spans="1:15" ht="21" customHeight="1">
      <c r="A100" s="33">
        <v>90</v>
      </c>
      <c r="B100" s="63" t="s">
        <v>673</v>
      </c>
      <c r="C100" s="64" t="s">
        <v>685</v>
      </c>
      <c r="D100" s="63" t="s">
        <v>56</v>
      </c>
      <c r="E100" s="65">
        <v>258</v>
      </c>
      <c r="F100" s="81" t="s">
        <v>501</v>
      </c>
      <c r="G100" s="33" t="s">
        <v>286</v>
      </c>
      <c r="H100" s="185" t="s">
        <v>285</v>
      </c>
      <c r="I100" s="33" t="s">
        <v>315</v>
      </c>
      <c r="J100" s="168" t="s">
        <v>299</v>
      </c>
      <c r="K100" s="70"/>
      <c r="L100" s="74"/>
      <c r="M100" s="267"/>
      <c r="N100" s="270"/>
      <c r="O100" s="74"/>
    </row>
    <row r="101" spans="1:15" ht="21" customHeight="1">
      <c r="A101" s="33">
        <v>91</v>
      </c>
      <c r="B101" s="63" t="s">
        <v>673</v>
      </c>
      <c r="C101" s="64" t="s">
        <v>686</v>
      </c>
      <c r="D101" s="63" t="s">
        <v>56</v>
      </c>
      <c r="E101" s="65">
        <v>130</v>
      </c>
      <c r="F101" s="81" t="s">
        <v>485</v>
      </c>
      <c r="G101" s="33" t="s">
        <v>296</v>
      </c>
      <c r="H101" s="185" t="s">
        <v>285</v>
      </c>
      <c r="I101" s="33" t="s">
        <v>315</v>
      </c>
      <c r="J101" s="168" t="s">
        <v>487</v>
      </c>
      <c r="K101" s="70"/>
      <c r="L101" s="74"/>
      <c r="M101" s="267"/>
      <c r="N101" s="74"/>
      <c r="O101" s="74"/>
    </row>
    <row r="102" spans="1:15" ht="21" customHeight="1">
      <c r="C102" s="132" t="s">
        <v>541</v>
      </c>
      <c r="D102" s="271"/>
      <c r="E102" s="220"/>
      <c r="F102" s="272">
        <v>2</v>
      </c>
      <c r="G102" s="272"/>
      <c r="H102" s="272">
        <v>9</v>
      </c>
      <c r="I102" s="272">
        <v>6</v>
      </c>
      <c r="J102" s="272"/>
    </row>
    <row r="103" spans="1:15" ht="21" customHeight="1">
      <c r="C103" s="132" t="s">
        <v>612</v>
      </c>
      <c r="D103" s="271"/>
      <c r="E103" s="220"/>
      <c r="F103" s="272">
        <v>2</v>
      </c>
      <c r="G103" s="272">
        <v>3</v>
      </c>
      <c r="H103" s="272">
        <v>3</v>
      </c>
      <c r="I103" s="272"/>
      <c r="J103" s="272"/>
    </row>
    <row r="106" spans="1:15" ht="28.5" customHeight="1">
      <c r="B106" s="513" t="s">
        <v>687</v>
      </c>
      <c r="C106" s="513"/>
      <c r="D106" s="513"/>
      <c r="E106" s="513"/>
      <c r="F106" s="513"/>
      <c r="G106" s="513"/>
      <c r="H106" s="513"/>
    </row>
    <row r="107" spans="1:15" s="2" customFormat="1" ht="25.5" customHeight="1">
      <c r="A107" s="273"/>
      <c r="B107" s="516"/>
      <c r="C107" s="517"/>
      <c r="D107" s="39" t="s">
        <v>688</v>
      </c>
      <c r="E107" s="39" t="s">
        <v>689</v>
      </c>
      <c r="F107" s="39" t="s">
        <v>462</v>
      </c>
      <c r="G107" s="39" t="s">
        <v>463</v>
      </c>
      <c r="H107" s="39" t="s">
        <v>690</v>
      </c>
    </row>
    <row r="108" spans="1:15" s="2" customFormat="1" ht="25.5" customHeight="1">
      <c r="A108" s="273"/>
      <c r="B108" s="508" t="s">
        <v>691</v>
      </c>
      <c r="C108" s="509"/>
      <c r="D108" s="508">
        <v>163</v>
      </c>
      <c r="E108" s="514"/>
      <c r="F108" s="514"/>
      <c r="G108" s="514"/>
      <c r="H108" s="509"/>
    </row>
    <row r="109" spans="1:15" s="2" customFormat="1" ht="25.5" customHeight="1">
      <c r="A109" s="273"/>
      <c r="B109" s="508" t="s">
        <v>692</v>
      </c>
      <c r="C109" s="509"/>
      <c r="D109" s="39">
        <v>12</v>
      </c>
      <c r="E109" s="39"/>
      <c r="F109" s="39">
        <v>50</v>
      </c>
      <c r="G109" s="39">
        <v>22</v>
      </c>
      <c r="H109" s="39"/>
    </row>
    <row r="110" spans="1:15" s="2" customFormat="1" ht="25.5" customHeight="1">
      <c r="A110" s="273"/>
      <c r="B110" s="508" t="s">
        <v>466</v>
      </c>
      <c r="C110" s="509"/>
      <c r="D110" s="39">
        <v>4</v>
      </c>
      <c r="E110" s="39">
        <v>13</v>
      </c>
      <c r="F110" s="39">
        <v>16</v>
      </c>
      <c r="G110" s="39">
        <v>10</v>
      </c>
      <c r="H110" s="39">
        <v>3</v>
      </c>
    </row>
  </sheetData>
  <mergeCells count="7">
    <mergeCell ref="B110:C110"/>
    <mergeCell ref="F1:J1"/>
    <mergeCell ref="B106:H106"/>
    <mergeCell ref="B107:C107"/>
    <mergeCell ref="B108:C108"/>
    <mergeCell ref="D108:H108"/>
    <mergeCell ref="B109:C109"/>
  </mergeCells>
  <phoneticPr fontId="3" type="noConversion"/>
  <conditionalFormatting sqref="D3:D101">
    <cfRule type="cellIs" dxfId="4" priority="3" operator="equal">
      <formula>"사립"</formula>
    </cfRule>
  </conditionalFormatting>
  <conditionalFormatting sqref="E76">
    <cfRule type="cellIs" dxfId="3" priority="2" operator="greaterThan">
      <formula>249</formula>
    </cfRule>
  </conditionalFormatting>
  <conditionalFormatting sqref="E76">
    <cfRule type="cellIs" dxfId="2" priority="1" operator="greaterThan">
      <formula>199</formula>
    </cfRule>
  </conditionalFormatting>
  <pageMargins left="0.51181102362204722" right="0.51181102362204722" top="0.55118110236220474" bottom="0.35433070866141736" header="0.31496062992125984" footer="0.31496062992125984"/>
  <pageSetup paperSize="8" scale="69" fitToHeight="0" orientation="portrait" r:id="rId1"/>
  <rowBreaks count="1" manualBreakCount="1">
    <brk id="57" max="16383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287"/>
  <sheetViews>
    <sheetView zoomScaleNormal="100" workbookViewId="0">
      <pane ySplit="3" topLeftCell="A4" activePane="bottomLeft" state="frozen"/>
      <selection activeCell="M26" sqref="M26"/>
      <selection pane="bottomLeft" activeCell="Q5" sqref="Q5"/>
    </sheetView>
  </sheetViews>
  <sheetFormatPr defaultColWidth="9" defaultRowHeight="16.5"/>
  <cols>
    <col min="1" max="1" width="10.875" style="349" customWidth="1"/>
    <col min="2" max="2" width="15.625" style="349" customWidth="1"/>
    <col min="3" max="3" width="9.875" style="349" customWidth="1"/>
    <col min="4" max="4" width="24.75" style="348" customWidth="1"/>
    <col min="5" max="5" width="8.625" style="349" customWidth="1"/>
    <col min="6" max="6" width="8.875" style="348" customWidth="1"/>
    <col min="7" max="8" width="12.625" style="348" hidden="1" customWidth="1"/>
    <col min="9" max="11" width="12.625" style="349" hidden="1" customWidth="1"/>
    <col min="12" max="16" width="12.625" style="349" customWidth="1"/>
    <col min="17" max="17" width="15.625" style="348" customWidth="1"/>
    <col min="18" max="26" width="9" style="348" customWidth="1"/>
    <col min="27" max="16384" width="9" style="348"/>
  </cols>
  <sheetData>
    <row r="1" spans="1:16" ht="39.950000000000003" customHeight="1" thickBot="1">
      <c r="A1" s="518" t="s">
        <v>816</v>
      </c>
      <c r="B1" s="518"/>
      <c r="C1" s="518"/>
      <c r="D1" s="518"/>
      <c r="E1" s="518"/>
      <c r="F1" s="518"/>
      <c r="G1" s="518"/>
      <c r="H1" s="518"/>
      <c r="I1" s="518"/>
      <c r="J1" s="518"/>
      <c r="K1" s="518"/>
      <c r="L1" s="518"/>
      <c r="M1" s="518"/>
      <c r="N1" s="518"/>
      <c r="O1" s="518"/>
      <c r="P1" s="518"/>
    </row>
    <row r="2" spans="1:16" ht="38.25" customHeight="1" thickBot="1">
      <c r="G2" s="519">
        <v>2024</v>
      </c>
      <c r="H2" s="520"/>
      <c r="I2" s="520"/>
      <c r="J2" s="520"/>
      <c r="K2" s="520"/>
      <c r="L2" s="521">
        <v>2025</v>
      </c>
      <c r="M2" s="522"/>
      <c r="N2" s="522"/>
      <c r="O2" s="522"/>
      <c r="P2" s="523"/>
    </row>
    <row r="3" spans="1:16" ht="48" customHeight="1" thickBot="1">
      <c r="A3" s="350" t="s">
        <v>817</v>
      </c>
      <c r="B3" s="350" t="s">
        <v>818</v>
      </c>
      <c r="C3" s="350" t="s">
        <v>819</v>
      </c>
      <c r="D3" s="350" t="s">
        <v>820</v>
      </c>
      <c r="E3" s="350" t="s">
        <v>821</v>
      </c>
      <c r="F3" s="351" t="s">
        <v>822</v>
      </c>
      <c r="G3" s="352" t="s">
        <v>823</v>
      </c>
      <c r="H3" s="352" t="s">
        <v>824</v>
      </c>
      <c r="I3" s="352" t="s">
        <v>16</v>
      </c>
      <c r="J3" s="352" t="s">
        <v>825</v>
      </c>
      <c r="K3" s="353" t="s">
        <v>826</v>
      </c>
      <c r="L3" s="354" t="s">
        <v>827</v>
      </c>
      <c r="M3" s="355" t="s">
        <v>828</v>
      </c>
      <c r="N3" s="355" t="s">
        <v>829</v>
      </c>
      <c r="O3" s="355" t="s">
        <v>830</v>
      </c>
      <c r="P3" s="356" t="s">
        <v>826</v>
      </c>
    </row>
    <row r="4" spans="1:16" ht="30" customHeight="1">
      <c r="A4" s="357">
        <v>1</v>
      </c>
      <c r="B4" s="358" t="s">
        <v>831</v>
      </c>
      <c r="C4" s="359" t="s">
        <v>832</v>
      </c>
      <c r="D4" s="360" t="s">
        <v>833</v>
      </c>
      <c r="E4" s="359" t="s">
        <v>56</v>
      </c>
      <c r="F4" s="361">
        <v>216</v>
      </c>
      <c r="G4" s="362"/>
      <c r="H4" s="362"/>
      <c r="I4" s="358" t="s">
        <v>834</v>
      </c>
      <c r="J4" s="358" t="s">
        <v>835</v>
      </c>
      <c r="K4" s="363" t="s">
        <v>836</v>
      </c>
      <c r="L4" s="364" t="s">
        <v>837</v>
      </c>
      <c r="M4" s="365" t="s">
        <v>838</v>
      </c>
      <c r="N4" s="366" t="s">
        <v>839</v>
      </c>
      <c r="O4" s="367" t="s">
        <v>840</v>
      </c>
      <c r="P4" s="368">
        <v>225</v>
      </c>
    </row>
    <row r="5" spans="1:16" ht="30" customHeight="1">
      <c r="A5" s="357">
        <v>2</v>
      </c>
      <c r="B5" s="357" t="s">
        <v>841</v>
      </c>
      <c r="C5" s="369" t="s">
        <v>842</v>
      </c>
      <c r="D5" s="370" t="s">
        <v>843</v>
      </c>
      <c r="E5" s="369" t="s">
        <v>77</v>
      </c>
      <c r="F5" s="371">
        <v>96</v>
      </c>
      <c r="G5" s="372"/>
      <c r="H5" s="372"/>
      <c r="I5" s="357" t="s">
        <v>844</v>
      </c>
      <c r="J5" s="357" t="s">
        <v>845</v>
      </c>
      <c r="K5" s="373" t="s">
        <v>846</v>
      </c>
      <c r="L5" s="374" t="s">
        <v>847</v>
      </c>
      <c r="M5" s="375" t="s">
        <v>848</v>
      </c>
      <c r="N5" s="376" t="s">
        <v>839</v>
      </c>
      <c r="O5" s="376" t="s">
        <v>839</v>
      </c>
      <c r="P5" s="377" t="s">
        <v>299</v>
      </c>
    </row>
    <row r="6" spans="1:16" ht="30" customHeight="1">
      <c r="A6" s="357">
        <v>3</v>
      </c>
      <c r="B6" s="357" t="s">
        <v>841</v>
      </c>
      <c r="C6" s="369" t="s">
        <v>849</v>
      </c>
      <c r="D6" s="370" t="s">
        <v>850</v>
      </c>
      <c r="E6" s="369" t="s">
        <v>56</v>
      </c>
      <c r="F6" s="371">
        <v>189</v>
      </c>
      <c r="G6" s="372"/>
      <c r="H6" s="378" t="s">
        <v>851</v>
      </c>
      <c r="I6" s="379" t="s">
        <v>852</v>
      </c>
      <c r="J6" s="357" t="s">
        <v>836</v>
      </c>
      <c r="K6" s="373" t="s">
        <v>299</v>
      </c>
      <c r="L6" s="374" t="s">
        <v>853</v>
      </c>
      <c r="M6" s="375" t="s">
        <v>854</v>
      </c>
      <c r="N6" s="380" t="s">
        <v>855</v>
      </c>
      <c r="O6" s="381" t="s">
        <v>840</v>
      </c>
      <c r="P6" s="382" t="s">
        <v>856</v>
      </c>
    </row>
    <row r="7" spans="1:16" ht="30" customHeight="1">
      <c r="A7" s="357">
        <v>4</v>
      </c>
      <c r="B7" s="357" t="s">
        <v>831</v>
      </c>
      <c r="C7" s="369" t="s">
        <v>849</v>
      </c>
      <c r="D7" s="370" t="s">
        <v>857</v>
      </c>
      <c r="E7" s="369" t="s">
        <v>77</v>
      </c>
      <c r="F7" s="371">
        <v>137</v>
      </c>
      <c r="G7" s="372"/>
      <c r="H7" s="372"/>
      <c r="I7" s="357" t="s">
        <v>858</v>
      </c>
      <c r="J7" s="357" t="s">
        <v>835</v>
      </c>
      <c r="K7" s="373" t="s">
        <v>834</v>
      </c>
      <c r="L7" s="374" t="s">
        <v>837</v>
      </c>
      <c r="M7" s="375" t="s">
        <v>848</v>
      </c>
      <c r="N7" s="376" t="s">
        <v>839</v>
      </c>
      <c r="O7" s="381" t="s">
        <v>840</v>
      </c>
      <c r="P7" s="382" t="s">
        <v>856</v>
      </c>
    </row>
    <row r="8" spans="1:16" ht="30" customHeight="1">
      <c r="A8" s="357">
        <v>5</v>
      </c>
      <c r="B8" s="357" t="s">
        <v>831</v>
      </c>
      <c r="C8" s="369" t="s">
        <v>849</v>
      </c>
      <c r="D8" s="370" t="s">
        <v>859</v>
      </c>
      <c r="E8" s="369" t="s">
        <v>56</v>
      </c>
      <c r="F8" s="371">
        <v>93</v>
      </c>
      <c r="G8" s="372"/>
      <c r="H8" s="372"/>
      <c r="I8" s="379" t="s">
        <v>860</v>
      </c>
      <c r="J8" s="357" t="s">
        <v>836</v>
      </c>
      <c r="K8" s="373" t="s">
        <v>858</v>
      </c>
      <c r="L8" s="374" t="s">
        <v>853</v>
      </c>
      <c r="M8" s="375" t="s">
        <v>853</v>
      </c>
      <c r="N8" s="383">
        <v>134</v>
      </c>
      <c r="O8" s="381" t="s">
        <v>861</v>
      </c>
      <c r="P8" s="382" t="s">
        <v>856</v>
      </c>
    </row>
    <row r="9" spans="1:16" ht="30" customHeight="1">
      <c r="A9" s="357">
        <v>6</v>
      </c>
      <c r="B9" s="357" t="s">
        <v>831</v>
      </c>
      <c r="C9" s="369" t="s">
        <v>849</v>
      </c>
      <c r="D9" s="370" t="s">
        <v>862</v>
      </c>
      <c r="E9" s="369" t="s">
        <v>77</v>
      </c>
      <c r="F9" s="371">
        <v>195</v>
      </c>
      <c r="G9" s="372"/>
      <c r="H9" s="372"/>
      <c r="I9" s="357" t="s">
        <v>858</v>
      </c>
      <c r="J9" s="357" t="s">
        <v>863</v>
      </c>
      <c r="K9" s="373" t="s">
        <v>845</v>
      </c>
      <c r="L9" s="374" t="s">
        <v>861</v>
      </c>
      <c r="M9" s="380" t="s">
        <v>837</v>
      </c>
      <c r="N9" s="376" t="s">
        <v>839</v>
      </c>
      <c r="O9" s="380" t="s">
        <v>840</v>
      </c>
      <c r="P9" s="382" t="s">
        <v>864</v>
      </c>
    </row>
    <row r="10" spans="1:16" ht="30" customHeight="1">
      <c r="A10" s="357">
        <v>7</v>
      </c>
      <c r="B10" s="357" t="s">
        <v>831</v>
      </c>
      <c r="C10" s="369" t="s">
        <v>849</v>
      </c>
      <c r="D10" s="370" t="s">
        <v>865</v>
      </c>
      <c r="E10" s="369" t="s">
        <v>56</v>
      </c>
      <c r="F10" s="371">
        <v>131</v>
      </c>
      <c r="G10" s="372"/>
      <c r="H10" s="372"/>
      <c r="I10" s="357" t="s">
        <v>836</v>
      </c>
      <c r="J10" s="357" t="s">
        <v>836</v>
      </c>
      <c r="K10" s="373" t="s">
        <v>858</v>
      </c>
      <c r="L10" s="374" t="s">
        <v>866</v>
      </c>
      <c r="M10" s="380" t="s">
        <v>853</v>
      </c>
      <c r="N10" s="380" t="s">
        <v>848</v>
      </c>
      <c r="O10" s="380" t="s">
        <v>867</v>
      </c>
      <c r="P10" s="382" t="s">
        <v>856</v>
      </c>
    </row>
    <row r="11" spans="1:16" ht="30" customHeight="1">
      <c r="A11" s="357">
        <v>8</v>
      </c>
      <c r="B11" s="357" t="s">
        <v>831</v>
      </c>
      <c r="C11" s="369" t="s">
        <v>849</v>
      </c>
      <c r="D11" s="370" t="s">
        <v>868</v>
      </c>
      <c r="E11" s="369" t="s">
        <v>77</v>
      </c>
      <c r="F11" s="384">
        <v>230</v>
      </c>
      <c r="G11" s="385" t="s">
        <v>823</v>
      </c>
      <c r="H11" s="385" t="s">
        <v>461</v>
      </c>
      <c r="I11" s="357" t="s">
        <v>869</v>
      </c>
      <c r="J11" s="379" t="s">
        <v>860</v>
      </c>
      <c r="K11" s="373" t="s">
        <v>299</v>
      </c>
      <c r="L11" s="386" t="s">
        <v>75</v>
      </c>
      <c r="M11" s="383" t="s">
        <v>870</v>
      </c>
      <c r="N11" s="380" t="s">
        <v>871</v>
      </c>
      <c r="O11" s="380" t="s">
        <v>854</v>
      </c>
      <c r="P11" s="377" t="s">
        <v>872</v>
      </c>
    </row>
    <row r="12" spans="1:16" ht="30" customHeight="1">
      <c r="A12" s="357">
        <v>9</v>
      </c>
      <c r="B12" s="387" t="s">
        <v>873</v>
      </c>
      <c r="C12" s="388" t="s">
        <v>874</v>
      </c>
      <c r="D12" s="389" t="s">
        <v>875</v>
      </c>
      <c r="E12" s="388" t="s">
        <v>77</v>
      </c>
      <c r="F12" s="390">
        <v>116</v>
      </c>
      <c r="G12" s="391"/>
      <c r="H12" s="391"/>
      <c r="I12" s="391"/>
      <c r="J12" s="387" t="s">
        <v>836</v>
      </c>
      <c r="K12" s="392" t="s">
        <v>858</v>
      </c>
      <c r="L12" s="393" t="s">
        <v>854</v>
      </c>
      <c r="M12" s="387" t="s">
        <v>861</v>
      </c>
      <c r="N12" s="394" t="s">
        <v>856</v>
      </c>
      <c r="O12" s="387" t="s">
        <v>840</v>
      </c>
      <c r="P12" s="395" t="s">
        <v>864</v>
      </c>
    </row>
    <row r="13" spans="1:16" ht="30" customHeight="1">
      <c r="A13" s="357">
        <v>10</v>
      </c>
      <c r="B13" s="357" t="s">
        <v>873</v>
      </c>
      <c r="C13" s="369" t="s">
        <v>874</v>
      </c>
      <c r="D13" s="370" t="s">
        <v>876</v>
      </c>
      <c r="E13" s="369" t="s">
        <v>77</v>
      </c>
      <c r="F13" s="371">
        <v>134</v>
      </c>
      <c r="G13" s="385" t="s">
        <v>823</v>
      </c>
      <c r="H13" s="372"/>
      <c r="I13" s="372"/>
      <c r="J13" s="357" t="s">
        <v>836</v>
      </c>
      <c r="K13" s="373" t="s">
        <v>834</v>
      </c>
      <c r="L13" s="396" t="s">
        <v>866</v>
      </c>
      <c r="M13" s="357" t="s">
        <v>837</v>
      </c>
      <c r="N13" s="357" t="s">
        <v>122</v>
      </c>
      <c r="O13" s="357" t="s">
        <v>866</v>
      </c>
      <c r="P13" s="397" t="s">
        <v>856</v>
      </c>
    </row>
    <row r="14" spans="1:16" ht="30" customHeight="1">
      <c r="A14" s="357">
        <v>11</v>
      </c>
      <c r="B14" s="357" t="s">
        <v>873</v>
      </c>
      <c r="C14" s="369" t="s">
        <v>877</v>
      </c>
      <c r="D14" s="370" t="s">
        <v>878</v>
      </c>
      <c r="E14" s="369" t="s">
        <v>77</v>
      </c>
      <c r="F14" s="371">
        <v>216</v>
      </c>
      <c r="G14" s="372"/>
      <c r="H14" s="372"/>
      <c r="I14" s="372"/>
      <c r="J14" s="357" t="s">
        <v>835</v>
      </c>
      <c r="K14" s="373" t="s">
        <v>834</v>
      </c>
      <c r="L14" s="396" t="s">
        <v>879</v>
      </c>
      <c r="M14" s="357" t="s">
        <v>848</v>
      </c>
      <c r="N14" s="398" t="s">
        <v>856</v>
      </c>
      <c r="O14" s="357" t="s">
        <v>880</v>
      </c>
      <c r="P14" s="397" t="s">
        <v>856</v>
      </c>
    </row>
    <row r="15" spans="1:16" ht="30" customHeight="1">
      <c r="A15" s="357">
        <v>12</v>
      </c>
      <c r="B15" s="357" t="s">
        <v>873</v>
      </c>
      <c r="C15" s="369" t="s">
        <v>874</v>
      </c>
      <c r="D15" s="370" t="s">
        <v>881</v>
      </c>
      <c r="E15" s="369" t="s">
        <v>56</v>
      </c>
      <c r="F15" s="371">
        <v>216</v>
      </c>
      <c r="G15" s="385" t="s">
        <v>823</v>
      </c>
      <c r="H15" s="372"/>
      <c r="I15" s="372"/>
      <c r="J15" s="357" t="s">
        <v>836</v>
      </c>
      <c r="K15" s="373" t="s">
        <v>882</v>
      </c>
      <c r="L15" s="399" t="s">
        <v>883</v>
      </c>
      <c r="M15" s="357" t="s">
        <v>884</v>
      </c>
      <c r="N15" s="357" t="s">
        <v>848</v>
      </c>
      <c r="O15" s="357" t="s">
        <v>866</v>
      </c>
      <c r="P15" s="397" t="s">
        <v>856</v>
      </c>
    </row>
    <row r="16" spans="1:16" ht="30" customHeight="1">
      <c r="A16" s="357">
        <v>13</v>
      </c>
      <c r="B16" s="357" t="s">
        <v>873</v>
      </c>
      <c r="C16" s="369" t="s">
        <v>874</v>
      </c>
      <c r="D16" s="370" t="s">
        <v>885</v>
      </c>
      <c r="E16" s="369" t="s">
        <v>56</v>
      </c>
      <c r="F16" s="371">
        <v>97</v>
      </c>
      <c r="G16" s="372"/>
      <c r="H16" s="372"/>
      <c r="I16" s="372"/>
      <c r="J16" s="357" t="s">
        <v>836</v>
      </c>
      <c r="K16" s="373" t="s">
        <v>836</v>
      </c>
      <c r="L16" s="396" t="s">
        <v>886</v>
      </c>
      <c r="M16" s="357" t="s">
        <v>848</v>
      </c>
      <c r="N16" s="376" t="s">
        <v>856</v>
      </c>
      <c r="O16" s="352" t="s">
        <v>867</v>
      </c>
      <c r="P16" s="400" t="s">
        <v>837</v>
      </c>
    </row>
    <row r="17" spans="1:16" ht="30" customHeight="1">
      <c r="A17" s="357">
        <v>14</v>
      </c>
      <c r="B17" s="357" t="s">
        <v>887</v>
      </c>
      <c r="C17" s="369" t="s">
        <v>874</v>
      </c>
      <c r="D17" s="370" t="s">
        <v>888</v>
      </c>
      <c r="E17" s="369" t="s">
        <v>56</v>
      </c>
      <c r="F17" s="371">
        <v>155</v>
      </c>
      <c r="G17" s="372"/>
      <c r="H17" s="385" t="s">
        <v>824</v>
      </c>
      <c r="I17" s="372"/>
      <c r="J17" s="357" t="s">
        <v>836</v>
      </c>
      <c r="K17" s="373" t="s">
        <v>889</v>
      </c>
      <c r="L17" s="396" t="s">
        <v>866</v>
      </c>
      <c r="M17" s="357" t="s">
        <v>854</v>
      </c>
      <c r="N17" s="376" t="s">
        <v>856</v>
      </c>
      <c r="O17" s="357" t="s">
        <v>861</v>
      </c>
      <c r="P17" s="400" t="s">
        <v>890</v>
      </c>
    </row>
    <row r="18" spans="1:16" ht="30" customHeight="1">
      <c r="A18" s="357">
        <v>15</v>
      </c>
      <c r="B18" s="357" t="s">
        <v>873</v>
      </c>
      <c r="C18" s="369" t="s">
        <v>874</v>
      </c>
      <c r="D18" s="370" t="s">
        <v>891</v>
      </c>
      <c r="E18" s="369" t="s">
        <v>56</v>
      </c>
      <c r="F18" s="371">
        <v>156</v>
      </c>
      <c r="G18" s="372"/>
      <c r="H18" s="385" t="s">
        <v>824</v>
      </c>
      <c r="I18" s="372"/>
      <c r="J18" s="357" t="s">
        <v>836</v>
      </c>
      <c r="K18" s="373" t="s">
        <v>858</v>
      </c>
      <c r="L18" s="396" t="s">
        <v>848</v>
      </c>
      <c r="M18" s="357" t="s">
        <v>892</v>
      </c>
      <c r="N18" s="376" t="s">
        <v>856</v>
      </c>
      <c r="O18" s="357" t="s">
        <v>840</v>
      </c>
      <c r="P18" s="397" t="s">
        <v>856</v>
      </c>
    </row>
    <row r="19" spans="1:16" ht="30" customHeight="1">
      <c r="A19" s="357">
        <v>16</v>
      </c>
      <c r="B19" s="357" t="s">
        <v>873</v>
      </c>
      <c r="C19" s="369" t="s">
        <v>874</v>
      </c>
      <c r="D19" s="370" t="s">
        <v>893</v>
      </c>
      <c r="E19" s="369" t="s">
        <v>56</v>
      </c>
      <c r="F19" s="384">
        <v>257</v>
      </c>
      <c r="G19" s="372"/>
      <c r="H19" s="372"/>
      <c r="I19" s="372"/>
      <c r="J19" s="357" t="s">
        <v>836</v>
      </c>
      <c r="K19" s="373" t="s">
        <v>872</v>
      </c>
      <c r="L19" s="396" t="s">
        <v>854</v>
      </c>
      <c r="M19" s="357" t="s">
        <v>853</v>
      </c>
      <c r="N19" s="376" t="s">
        <v>864</v>
      </c>
      <c r="O19" s="357" t="s">
        <v>866</v>
      </c>
      <c r="P19" s="400" t="s">
        <v>872</v>
      </c>
    </row>
    <row r="20" spans="1:16" ht="30" customHeight="1" thickBot="1">
      <c r="A20" s="357">
        <v>17</v>
      </c>
      <c r="B20" s="357" t="s">
        <v>873</v>
      </c>
      <c r="C20" s="369" t="s">
        <v>877</v>
      </c>
      <c r="D20" s="370" t="s">
        <v>894</v>
      </c>
      <c r="E20" s="369" t="s">
        <v>77</v>
      </c>
      <c r="F20" s="371">
        <v>107</v>
      </c>
      <c r="G20" s="378" t="s">
        <v>895</v>
      </c>
      <c r="H20" s="372"/>
      <c r="I20" s="372"/>
      <c r="J20" s="357" t="s">
        <v>836</v>
      </c>
      <c r="K20" s="373" t="s">
        <v>889</v>
      </c>
      <c r="L20" s="396" t="s">
        <v>896</v>
      </c>
      <c r="M20" s="357" t="s">
        <v>853</v>
      </c>
      <c r="N20" s="357" t="s">
        <v>866</v>
      </c>
      <c r="O20" s="357" t="s">
        <v>861</v>
      </c>
      <c r="P20" s="397" t="s">
        <v>856</v>
      </c>
    </row>
    <row r="21" spans="1:16" ht="30" customHeight="1">
      <c r="A21" s="357">
        <v>18</v>
      </c>
      <c r="B21" s="358" t="s">
        <v>897</v>
      </c>
      <c r="C21" s="359" t="s">
        <v>898</v>
      </c>
      <c r="D21" s="360" t="s">
        <v>899</v>
      </c>
      <c r="E21" s="359" t="s">
        <v>56</v>
      </c>
      <c r="F21" s="401">
        <v>139</v>
      </c>
      <c r="G21" s="362" t="s">
        <v>900</v>
      </c>
      <c r="H21" s="362" t="s">
        <v>853</v>
      </c>
      <c r="I21" s="358" t="s">
        <v>901</v>
      </c>
      <c r="J21" s="402" t="s">
        <v>902</v>
      </c>
      <c r="K21" s="363" t="s">
        <v>846</v>
      </c>
      <c r="L21" s="403" t="s">
        <v>861</v>
      </c>
      <c r="M21" s="363" t="s">
        <v>896</v>
      </c>
      <c r="N21" s="404" t="s">
        <v>856</v>
      </c>
      <c r="O21" s="405" t="s">
        <v>872</v>
      </c>
      <c r="P21" s="406" t="s">
        <v>863</v>
      </c>
    </row>
    <row r="22" spans="1:16" ht="30" customHeight="1">
      <c r="A22" s="357">
        <v>19</v>
      </c>
      <c r="B22" s="357" t="s">
        <v>903</v>
      </c>
      <c r="C22" s="369" t="s">
        <v>898</v>
      </c>
      <c r="D22" s="370" t="s">
        <v>904</v>
      </c>
      <c r="E22" s="369" t="s">
        <v>56</v>
      </c>
      <c r="F22" s="384">
        <v>276</v>
      </c>
      <c r="G22" s="372" t="s">
        <v>900</v>
      </c>
      <c r="H22" s="372" t="s">
        <v>853</v>
      </c>
      <c r="I22" s="357" t="s">
        <v>905</v>
      </c>
      <c r="J22" s="407" t="s">
        <v>863</v>
      </c>
      <c r="K22" s="408" t="s">
        <v>872</v>
      </c>
      <c r="L22" s="409" t="s">
        <v>856</v>
      </c>
      <c r="M22" s="373" t="s">
        <v>906</v>
      </c>
      <c r="N22" s="357" t="s">
        <v>907</v>
      </c>
      <c r="O22" s="407" t="s">
        <v>863</v>
      </c>
      <c r="P22" s="400" t="s">
        <v>863</v>
      </c>
    </row>
    <row r="23" spans="1:16" ht="30" customHeight="1">
      <c r="A23" s="357">
        <v>20</v>
      </c>
      <c r="B23" s="357" t="s">
        <v>903</v>
      </c>
      <c r="C23" s="369" t="s">
        <v>898</v>
      </c>
      <c r="D23" s="370" t="s">
        <v>908</v>
      </c>
      <c r="E23" s="369" t="s">
        <v>56</v>
      </c>
      <c r="F23" s="371">
        <v>153</v>
      </c>
      <c r="G23" s="372" t="s">
        <v>837</v>
      </c>
      <c r="H23" s="372" t="s">
        <v>838</v>
      </c>
      <c r="I23" s="357" t="s">
        <v>909</v>
      </c>
      <c r="J23" s="410" t="s">
        <v>910</v>
      </c>
      <c r="K23" s="373" t="s">
        <v>863</v>
      </c>
      <c r="L23" s="409" t="s">
        <v>911</v>
      </c>
      <c r="M23" s="373" t="s">
        <v>838</v>
      </c>
      <c r="N23" s="357" t="s">
        <v>912</v>
      </c>
      <c r="O23" s="357" t="s">
        <v>896</v>
      </c>
      <c r="P23" s="400" t="s">
        <v>872</v>
      </c>
    </row>
    <row r="24" spans="1:16" ht="30" customHeight="1">
      <c r="A24" s="357">
        <v>21</v>
      </c>
      <c r="B24" s="357" t="s">
        <v>903</v>
      </c>
      <c r="C24" s="369" t="s">
        <v>913</v>
      </c>
      <c r="D24" s="370" t="s">
        <v>914</v>
      </c>
      <c r="E24" s="369" t="s">
        <v>56</v>
      </c>
      <c r="F24" s="384">
        <v>270</v>
      </c>
      <c r="G24" s="372" t="s">
        <v>861</v>
      </c>
      <c r="H24" s="372" t="s">
        <v>915</v>
      </c>
      <c r="I24" s="357" t="s">
        <v>916</v>
      </c>
      <c r="J24" s="357" t="s">
        <v>917</v>
      </c>
      <c r="K24" s="373" t="s">
        <v>872</v>
      </c>
      <c r="L24" s="396" t="s">
        <v>918</v>
      </c>
      <c r="M24" s="373" t="s">
        <v>853</v>
      </c>
      <c r="N24" s="355">
        <v>245</v>
      </c>
      <c r="O24" s="398" t="s">
        <v>856</v>
      </c>
      <c r="P24" s="400" t="s">
        <v>863</v>
      </c>
    </row>
    <row r="25" spans="1:16" ht="30" customHeight="1">
      <c r="A25" s="357">
        <v>22</v>
      </c>
      <c r="B25" s="357" t="s">
        <v>897</v>
      </c>
      <c r="C25" s="369" t="s">
        <v>898</v>
      </c>
      <c r="D25" s="370" t="s">
        <v>919</v>
      </c>
      <c r="E25" s="369" t="s">
        <v>56</v>
      </c>
      <c r="F25" s="384">
        <v>330</v>
      </c>
      <c r="G25" s="372" t="s">
        <v>837</v>
      </c>
      <c r="H25" s="372" t="s">
        <v>896</v>
      </c>
      <c r="I25" s="357" t="s">
        <v>920</v>
      </c>
      <c r="J25" s="411" t="s">
        <v>921</v>
      </c>
      <c r="K25" s="408" t="s">
        <v>872</v>
      </c>
      <c r="L25" s="409" t="s">
        <v>856</v>
      </c>
      <c r="M25" s="373" t="s">
        <v>922</v>
      </c>
      <c r="N25" s="357" t="s">
        <v>923</v>
      </c>
      <c r="O25" s="357" t="s">
        <v>924</v>
      </c>
      <c r="P25" s="400" t="s">
        <v>863</v>
      </c>
    </row>
    <row r="26" spans="1:16" ht="30" customHeight="1">
      <c r="A26" s="357">
        <v>23</v>
      </c>
      <c r="B26" s="357" t="s">
        <v>903</v>
      </c>
      <c r="C26" s="369" t="s">
        <v>898</v>
      </c>
      <c r="D26" s="370" t="s">
        <v>925</v>
      </c>
      <c r="E26" s="369" t="s">
        <v>56</v>
      </c>
      <c r="F26" s="384">
        <v>282</v>
      </c>
      <c r="G26" s="372" t="s">
        <v>900</v>
      </c>
      <c r="H26" s="372" t="s">
        <v>861</v>
      </c>
      <c r="I26" s="357" t="s">
        <v>926</v>
      </c>
      <c r="J26" s="407" t="s">
        <v>872</v>
      </c>
      <c r="K26" s="373" t="s">
        <v>863</v>
      </c>
      <c r="L26" s="396" t="s">
        <v>927</v>
      </c>
      <c r="M26" s="373" t="s">
        <v>890</v>
      </c>
      <c r="N26" s="398" t="s">
        <v>856</v>
      </c>
      <c r="O26" s="387" t="s">
        <v>872</v>
      </c>
      <c r="P26" s="400" t="s">
        <v>872</v>
      </c>
    </row>
    <row r="27" spans="1:16" ht="30" customHeight="1">
      <c r="A27" s="357">
        <v>24</v>
      </c>
      <c r="B27" s="357" t="s">
        <v>897</v>
      </c>
      <c r="C27" s="369" t="s">
        <v>898</v>
      </c>
      <c r="D27" s="370" t="s">
        <v>928</v>
      </c>
      <c r="E27" s="369" t="s">
        <v>56</v>
      </c>
      <c r="F27" s="371">
        <v>140</v>
      </c>
      <c r="G27" s="372" t="s">
        <v>853</v>
      </c>
      <c r="H27" s="372" t="s">
        <v>853</v>
      </c>
      <c r="I27" s="357" t="s">
        <v>929</v>
      </c>
      <c r="J27" s="412" t="s">
        <v>916</v>
      </c>
      <c r="K27" s="373" t="s">
        <v>872</v>
      </c>
      <c r="L27" s="409" t="s">
        <v>864</v>
      </c>
      <c r="M27" s="413" t="s">
        <v>930</v>
      </c>
      <c r="N27" s="357" t="s">
        <v>837</v>
      </c>
      <c r="O27" s="357" t="s">
        <v>931</v>
      </c>
      <c r="P27" s="400" t="s">
        <v>872</v>
      </c>
    </row>
    <row r="28" spans="1:16" ht="30" customHeight="1">
      <c r="A28" s="357">
        <v>25</v>
      </c>
      <c r="B28" s="357" t="s">
        <v>897</v>
      </c>
      <c r="C28" s="369" t="s">
        <v>898</v>
      </c>
      <c r="D28" s="370" t="s">
        <v>932</v>
      </c>
      <c r="E28" s="369" t="s">
        <v>56</v>
      </c>
      <c r="F28" s="371">
        <v>194</v>
      </c>
      <c r="G28" s="372"/>
      <c r="H28" s="372"/>
      <c r="I28" s="357" t="s">
        <v>834</v>
      </c>
      <c r="J28" s="357" t="s">
        <v>863</v>
      </c>
      <c r="K28" s="373" t="s">
        <v>872</v>
      </c>
      <c r="L28" s="396" t="s">
        <v>933</v>
      </c>
      <c r="M28" s="373" t="s">
        <v>915</v>
      </c>
      <c r="N28" s="398" t="s">
        <v>864</v>
      </c>
      <c r="O28" s="387" t="s">
        <v>872</v>
      </c>
      <c r="P28" s="400" t="s">
        <v>872</v>
      </c>
    </row>
    <row r="29" spans="1:16" ht="30" customHeight="1">
      <c r="A29" s="357">
        <v>26</v>
      </c>
      <c r="B29" s="357" t="s">
        <v>903</v>
      </c>
      <c r="C29" s="369" t="s">
        <v>934</v>
      </c>
      <c r="D29" s="370" t="s">
        <v>935</v>
      </c>
      <c r="E29" s="369" t="s">
        <v>56</v>
      </c>
      <c r="F29" s="371">
        <v>194</v>
      </c>
      <c r="G29" s="372" t="s">
        <v>900</v>
      </c>
      <c r="H29" s="372" t="s">
        <v>853</v>
      </c>
      <c r="I29" s="357" t="s">
        <v>936</v>
      </c>
      <c r="J29" s="357" t="s">
        <v>937</v>
      </c>
      <c r="K29" s="373" t="s">
        <v>863</v>
      </c>
      <c r="L29" s="396" t="s">
        <v>896</v>
      </c>
      <c r="M29" s="373" t="s">
        <v>853</v>
      </c>
      <c r="N29" s="398" t="s">
        <v>856</v>
      </c>
      <c r="O29" s="357" t="s">
        <v>884</v>
      </c>
      <c r="P29" s="400" t="s">
        <v>863</v>
      </c>
    </row>
    <row r="30" spans="1:16" ht="30" customHeight="1">
      <c r="A30" s="357">
        <v>27</v>
      </c>
      <c r="B30" s="357" t="s">
        <v>903</v>
      </c>
      <c r="C30" s="369" t="s">
        <v>934</v>
      </c>
      <c r="D30" s="370" t="s">
        <v>938</v>
      </c>
      <c r="E30" s="369" t="s">
        <v>56</v>
      </c>
      <c r="F30" s="384">
        <v>518</v>
      </c>
      <c r="G30" s="372" t="s">
        <v>848</v>
      </c>
      <c r="H30" s="372" t="s">
        <v>915</v>
      </c>
      <c r="I30" s="357" t="s">
        <v>939</v>
      </c>
      <c r="J30" s="357" t="s">
        <v>872</v>
      </c>
      <c r="K30" s="373" t="s">
        <v>872</v>
      </c>
      <c r="L30" s="396" t="s">
        <v>940</v>
      </c>
      <c r="M30" s="357" t="s">
        <v>915</v>
      </c>
      <c r="N30" s="398" t="s">
        <v>864</v>
      </c>
      <c r="O30" s="407" t="s">
        <v>872</v>
      </c>
      <c r="P30" s="400" t="s">
        <v>863</v>
      </c>
    </row>
    <row r="31" spans="1:16" ht="30" customHeight="1">
      <c r="A31" s="357">
        <v>28</v>
      </c>
      <c r="B31" s="357" t="s">
        <v>897</v>
      </c>
      <c r="C31" s="369" t="s">
        <v>941</v>
      </c>
      <c r="D31" s="370" t="s">
        <v>942</v>
      </c>
      <c r="E31" s="369" t="s">
        <v>56</v>
      </c>
      <c r="F31" s="371">
        <v>153</v>
      </c>
      <c r="G31" s="372" t="s">
        <v>848</v>
      </c>
      <c r="H31" s="372" t="s">
        <v>861</v>
      </c>
      <c r="I31" s="357" t="s">
        <v>943</v>
      </c>
      <c r="J31" s="357" t="s">
        <v>872</v>
      </c>
      <c r="K31" s="373" t="s">
        <v>863</v>
      </c>
      <c r="L31" s="409" t="s">
        <v>864</v>
      </c>
      <c r="M31" s="357" t="s">
        <v>944</v>
      </c>
      <c r="N31" s="357" t="s">
        <v>890</v>
      </c>
      <c r="O31" s="398" t="s">
        <v>864</v>
      </c>
      <c r="P31" s="400" t="s">
        <v>863</v>
      </c>
    </row>
    <row r="32" spans="1:16" ht="30" customHeight="1">
      <c r="A32" s="357">
        <v>29</v>
      </c>
      <c r="B32" s="357" t="s">
        <v>897</v>
      </c>
      <c r="C32" s="369" t="s">
        <v>941</v>
      </c>
      <c r="D32" s="370" t="s">
        <v>945</v>
      </c>
      <c r="E32" s="369" t="s">
        <v>56</v>
      </c>
      <c r="F32" s="371">
        <v>148</v>
      </c>
      <c r="G32" s="372" t="s">
        <v>900</v>
      </c>
      <c r="H32" s="372" t="s">
        <v>946</v>
      </c>
      <c r="I32" s="357" t="s">
        <v>947</v>
      </c>
      <c r="J32" s="412" t="s">
        <v>948</v>
      </c>
      <c r="K32" s="373" t="s">
        <v>863</v>
      </c>
      <c r="L32" s="409" t="s">
        <v>75</v>
      </c>
      <c r="M32" s="373" t="s">
        <v>949</v>
      </c>
      <c r="N32" s="357" t="s">
        <v>950</v>
      </c>
      <c r="O32" s="407" t="s">
        <v>872</v>
      </c>
      <c r="P32" s="400" t="s">
        <v>863</v>
      </c>
    </row>
    <row r="33" spans="1:16" ht="30" customHeight="1">
      <c r="A33" s="357">
        <v>30</v>
      </c>
      <c r="B33" s="357" t="s">
        <v>903</v>
      </c>
      <c r="C33" s="369" t="s">
        <v>941</v>
      </c>
      <c r="D33" s="370" t="s">
        <v>951</v>
      </c>
      <c r="E33" s="369" t="s">
        <v>56</v>
      </c>
      <c r="F33" s="371">
        <v>139</v>
      </c>
      <c r="G33" s="372" t="s">
        <v>900</v>
      </c>
      <c r="H33" s="372" t="s">
        <v>837</v>
      </c>
      <c r="I33" s="357" t="s">
        <v>952</v>
      </c>
      <c r="J33" s="357" t="s">
        <v>863</v>
      </c>
      <c r="K33" s="373" t="s">
        <v>863</v>
      </c>
      <c r="L33" s="409" t="s">
        <v>864</v>
      </c>
      <c r="M33" s="373" t="s">
        <v>953</v>
      </c>
      <c r="N33" s="398" t="s">
        <v>856</v>
      </c>
      <c r="O33" s="407" t="s">
        <v>872</v>
      </c>
      <c r="P33" s="400" t="s">
        <v>863</v>
      </c>
    </row>
    <row r="34" spans="1:16" ht="30" customHeight="1">
      <c r="A34" s="357">
        <v>31</v>
      </c>
      <c r="B34" s="357" t="s">
        <v>903</v>
      </c>
      <c r="C34" s="369" t="s">
        <v>954</v>
      </c>
      <c r="D34" s="370" t="s">
        <v>955</v>
      </c>
      <c r="E34" s="369" t="s">
        <v>56</v>
      </c>
      <c r="F34" s="384">
        <v>273</v>
      </c>
      <c r="G34" s="372" t="s">
        <v>853</v>
      </c>
      <c r="H34" s="372" t="s">
        <v>915</v>
      </c>
      <c r="I34" s="357" t="s">
        <v>956</v>
      </c>
      <c r="J34" s="357" t="s">
        <v>957</v>
      </c>
      <c r="K34" s="373" t="s">
        <v>863</v>
      </c>
      <c r="L34" s="409" t="s">
        <v>864</v>
      </c>
      <c r="M34" s="373" t="s">
        <v>922</v>
      </c>
      <c r="N34" s="357" t="s">
        <v>922</v>
      </c>
      <c r="O34" s="357" t="s">
        <v>958</v>
      </c>
      <c r="P34" s="400" t="s">
        <v>863</v>
      </c>
    </row>
    <row r="35" spans="1:16" ht="30" customHeight="1">
      <c r="A35" s="357">
        <v>32</v>
      </c>
      <c r="B35" s="357" t="s">
        <v>903</v>
      </c>
      <c r="C35" s="369" t="s">
        <v>959</v>
      </c>
      <c r="D35" s="370" t="s">
        <v>960</v>
      </c>
      <c r="E35" s="369" t="s">
        <v>56</v>
      </c>
      <c r="F35" s="371">
        <v>257</v>
      </c>
      <c r="G35" s="372" t="s">
        <v>900</v>
      </c>
      <c r="H35" s="372" t="s">
        <v>961</v>
      </c>
      <c r="I35" s="414"/>
      <c r="J35" s="357" t="s">
        <v>917</v>
      </c>
      <c r="K35" s="373" t="s">
        <v>962</v>
      </c>
      <c r="L35" s="409" t="s">
        <v>864</v>
      </c>
      <c r="M35" s="373" t="s">
        <v>963</v>
      </c>
      <c r="N35" s="355">
        <v>271</v>
      </c>
      <c r="O35" s="357" t="s">
        <v>964</v>
      </c>
      <c r="P35" s="400" t="s">
        <v>863</v>
      </c>
    </row>
    <row r="36" spans="1:16" ht="30" customHeight="1">
      <c r="A36" s="357">
        <v>33</v>
      </c>
      <c r="B36" s="357" t="s">
        <v>897</v>
      </c>
      <c r="C36" s="369" t="s">
        <v>959</v>
      </c>
      <c r="D36" s="370" t="s">
        <v>965</v>
      </c>
      <c r="E36" s="369" t="s">
        <v>56</v>
      </c>
      <c r="F36" s="371">
        <v>190</v>
      </c>
      <c r="G36" s="372" t="s">
        <v>918</v>
      </c>
      <c r="H36" s="372" t="s">
        <v>933</v>
      </c>
      <c r="I36" s="415" t="s">
        <v>966</v>
      </c>
      <c r="J36" s="357" t="s">
        <v>967</v>
      </c>
      <c r="K36" s="373" t="s">
        <v>863</v>
      </c>
      <c r="L36" s="396" t="s">
        <v>854</v>
      </c>
      <c r="M36" s="373" t="s">
        <v>968</v>
      </c>
      <c r="N36" s="416" t="s">
        <v>969</v>
      </c>
      <c r="O36" s="407" t="s">
        <v>863</v>
      </c>
      <c r="P36" s="400" t="s">
        <v>299</v>
      </c>
    </row>
    <row r="37" spans="1:16" ht="30" customHeight="1">
      <c r="A37" s="357">
        <v>34</v>
      </c>
      <c r="B37" s="357" t="s">
        <v>903</v>
      </c>
      <c r="C37" s="369" t="s">
        <v>959</v>
      </c>
      <c r="D37" s="370" t="s">
        <v>970</v>
      </c>
      <c r="E37" s="369" t="s">
        <v>77</v>
      </c>
      <c r="F37" s="371">
        <v>61</v>
      </c>
      <c r="G37" s="372" t="s">
        <v>896</v>
      </c>
      <c r="H37" s="372" t="s">
        <v>890</v>
      </c>
      <c r="I37" s="357" t="s">
        <v>971</v>
      </c>
      <c r="J37" s="412" t="s">
        <v>943</v>
      </c>
      <c r="K37" s="373" t="s">
        <v>863</v>
      </c>
      <c r="L37" s="396" t="s">
        <v>890</v>
      </c>
      <c r="M37" s="373" t="s">
        <v>890</v>
      </c>
      <c r="N37" s="398" t="s">
        <v>864</v>
      </c>
      <c r="O37" s="357" t="s">
        <v>880</v>
      </c>
      <c r="P37" s="400" t="s">
        <v>872</v>
      </c>
    </row>
    <row r="38" spans="1:16" ht="30" customHeight="1">
      <c r="A38" s="357">
        <v>35</v>
      </c>
      <c r="B38" s="357" t="s">
        <v>903</v>
      </c>
      <c r="C38" s="369" t="s">
        <v>972</v>
      </c>
      <c r="D38" s="370" t="s">
        <v>973</v>
      </c>
      <c r="E38" s="369" t="s">
        <v>77</v>
      </c>
      <c r="F38" s="371">
        <v>179</v>
      </c>
      <c r="G38" s="372" t="s">
        <v>974</v>
      </c>
      <c r="H38" s="372" t="s">
        <v>884</v>
      </c>
      <c r="I38" s="357" t="s">
        <v>975</v>
      </c>
      <c r="J38" s="412" t="s">
        <v>976</v>
      </c>
      <c r="K38" s="373" t="s">
        <v>977</v>
      </c>
      <c r="L38" s="396" t="s">
        <v>848</v>
      </c>
      <c r="M38" s="373" t="s">
        <v>968</v>
      </c>
      <c r="N38" s="398" t="s">
        <v>864</v>
      </c>
      <c r="O38" s="417" t="s">
        <v>978</v>
      </c>
      <c r="P38" s="397" t="s">
        <v>856</v>
      </c>
    </row>
    <row r="39" spans="1:16" ht="30" customHeight="1">
      <c r="A39" s="357">
        <v>36</v>
      </c>
      <c r="B39" s="357" t="s">
        <v>897</v>
      </c>
      <c r="C39" s="369" t="s">
        <v>972</v>
      </c>
      <c r="D39" s="370" t="s">
        <v>979</v>
      </c>
      <c r="E39" s="369" t="s">
        <v>56</v>
      </c>
      <c r="F39" s="384">
        <v>265</v>
      </c>
      <c r="G39" s="372" t="s">
        <v>974</v>
      </c>
      <c r="H39" s="372" t="s">
        <v>980</v>
      </c>
      <c r="I39" s="357" t="s">
        <v>977</v>
      </c>
      <c r="J39" s="357" t="s">
        <v>981</v>
      </c>
      <c r="K39" s="373" t="s">
        <v>863</v>
      </c>
      <c r="L39" s="396" t="s">
        <v>982</v>
      </c>
      <c r="M39" s="373" t="s">
        <v>983</v>
      </c>
      <c r="N39" s="398" t="s">
        <v>864</v>
      </c>
      <c r="O39" s="357" t="s">
        <v>958</v>
      </c>
      <c r="P39" s="400" t="s">
        <v>872</v>
      </c>
    </row>
    <row r="40" spans="1:16" ht="30" customHeight="1">
      <c r="A40" s="357">
        <v>37</v>
      </c>
      <c r="B40" s="357" t="s">
        <v>903</v>
      </c>
      <c r="C40" s="369" t="s">
        <v>959</v>
      </c>
      <c r="D40" s="370" t="s">
        <v>984</v>
      </c>
      <c r="E40" s="369" t="s">
        <v>56</v>
      </c>
      <c r="F40" s="371">
        <v>12</v>
      </c>
      <c r="G40" s="418" t="s">
        <v>985</v>
      </c>
      <c r="H40" s="372" t="s">
        <v>853</v>
      </c>
      <c r="I40" s="357" t="s">
        <v>986</v>
      </c>
      <c r="J40" s="410" t="s">
        <v>976</v>
      </c>
      <c r="K40" s="373" t="s">
        <v>863</v>
      </c>
      <c r="L40" s="396" t="s">
        <v>940</v>
      </c>
      <c r="M40" s="357" t="s">
        <v>884</v>
      </c>
      <c r="N40" s="398" t="s">
        <v>856</v>
      </c>
      <c r="O40" s="357" t="s">
        <v>866</v>
      </c>
      <c r="P40" s="400" t="s">
        <v>863</v>
      </c>
    </row>
    <row r="41" spans="1:16" ht="30" customHeight="1">
      <c r="A41" s="357">
        <v>38</v>
      </c>
      <c r="B41" s="357" t="s">
        <v>987</v>
      </c>
      <c r="C41" s="369" t="s">
        <v>988</v>
      </c>
      <c r="D41" s="370" t="s">
        <v>989</v>
      </c>
      <c r="E41" s="369" t="s">
        <v>56</v>
      </c>
      <c r="F41" s="371">
        <v>103</v>
      </c>
      <c r="G41" s="372"/>
      <c r="H41" s="372"/>
      <c r="I41" s="379" t="s">
        <v>990</v>
      </c>
      <c r="J41" s="357" t="s">
        <v>863</v>
      </c>
      <c r="K41" s="373" t="s">
        <v>863</v>
      </c>
      <c r="L41" s="396" t="s">
        <v>974</v>
      </c>
      <c r="M41" s="357" t="s">
        <v>884</v>
      </c>
      <c r="N41" s="357" t="s">
        <v>890</v>
      </c>
      <c r="O41" s="419" t="s">
        <v>864</v>
      </c>
      <c r="P41" s="356">
        <v>95</v>
      </c>
    </row>
    <row r="42" spans="1:16" ht="30" customHeight="1">
      <c r="A42" s="357">
        <v>39</v>
      </c>
      <c r="B42" s="357" t="s">
        <v>987</v>
      </c>
      <c r="C42" s="369" t="s">
        <v>988</v>
      </c>
      <c r="D42" s="370" t="s">
        <v>991</v>
      </c>
      <c r="E42" s="369" t="s">
        <v>56</v>
      </c>
      <c r="F42" s="371">
        <v>231</v>
      </c>
      <c r="G42" s="372"/>
      <c r="H42" s="372"/>
      <c r="I42" s="357" t="s">
        <v>858</v>
      </c>
      <c r="J42" s="420" t="s">
        <v>863</v>
      </c>
      <c r="K42" s="373" t="s">
        <v>863</v>
      </c>
      <c r="L42" s="396" t="s">
        <v>918</v>
      </c>
      <c r="M42" s="357" t="s">
        <v>866</v>
      </c>
      <c r="N42" s="398" t="s">
        <v>856</v>
      </c>
      <c r="O42" s="421" t="s">
        <v>863</v>
      </c>
      <c r="P42" s="400" t="s">
        <v>863</v>
      </c>
    </row>
    <row r="43" spans="1:16" ht="30" customHeight="1">
      <c r="A43" s="357">
        <v>40</v>
      </c>
      <c r="B43" s="357" t="s">
        <v>987</v>
      </c>
      <c r="C43" s="369" t="s">
        <v>988</v>
      </c>
      <c r="D43" s="370" t="s">
        <v>992</v>
      </c>
      <c r="E43" s="369" t="s">
        <v>56</v>
      </c>
      <c r="F43" s="371">
        <v>247</v>
      </c>
      <c r="G43" s="372"/>
      <c r="H43" s="372"/>
      <c r="I43" s="357" t="s">
        <v>889</v>
      </c>
      <c r="J43" s="357" t="s">
        <v>872</v>
      </c>
      <c r="K43" s="373" t="s">
        <v>863</v>
      </c>
      <c r="L43" s="396" t="s">
        <v>884</v>
      </c>
      <c r="M43" s="357" t="s">
        <v>933</v>
      </c>
      <c r="N43" s="398" t="s">
        <v>864</v>
      </c>
      <c r="O43" s="421" t="s">
        <v>840</v>
      </c>
      <c r="P43" s="400" t="s">
        <v>863</v>
      </c>
    </row>
    <row r="44" spans="1:16" ht="30" customHeight="1">
      <c r="A44" s="357">
        <v>41</v>
      </c>
      <c r="B44" s="357" t="s">
        <v>987</v>
      </c>
      <c r="C44" s="369" t="s">
        <v>988</v>
      </c>
      <c r="D44" s="370" t="s">
        <v>993</v>
      </c>
      <c r="E44" s="369" t="s">
        <v>56</v>
      </c>
      <c r="F44" s="371">
        <v>223</v>
      </c>
      <c r="G44" s="372"/>
      <c r="H44" s="372"/>
      <c r="I44" s="357" t="s">
        <v>962</v>
      </c>
      <c r="J44" s="357" t="s">
        <v>882</v>
      </c>
      <c r="K44" s="373" t="s">
        <v>863</v>
      </c>
      <c r="L44" s="409" t="s">
        <v>856</v>
      </c>
      <c r="M44" s="357" t="s">
        <v>890</v>
      </c>
      <c r="N44" s="357" t="s">
        <v>994</v>
      </c>
      <c r="O44" s="421" t="s">
        <v>880</v>
      </c>
      <c r="P44" s="400" t="s">
        <v>872</v>
      </c>
    </row>
    <row r="45" spans="1:16" ht="30" customHeight="1">
      <c r="A45" s="357">
        <v>42</v>
      </c>
      <c r="B45" s="357" t="s">
        <v>987</v>
      </c>
      <c r="C45" s="369" t="s">
        <v>988</v>
      </c>
      <c r="D45" s="370" t="s">
        <v>995</v>
      </c>
      <c r="E45" s="369" t="s">
        <v>56</v>
      </c>
      <c r="F45" s="371">
        <v>116</v>
      </c>
      <c r="G45" s="372"/>
      <c r="H45" s="372"/>
      <c r="I45" s="357" t="s">
        <v>889</v>
      </c>
      <c r="J45" s="357" t="s">
        <v>863</v>
      </c>
      <c r="K45" s="373" t="s">
        <v>863</v>
      </c>
      <c r="L45" s="396" t="s">
        <v>896</v>
      </c>
      <c r="M45" s="357" t="s">
        <v>884</v>
      </c>
      <c r="N45" s="398" t="s">
        <v>856</v>
      </c>
      <c r="O45" s="421" t="s">
        <v>996</v>
      </c>
      <c r="P45" s="400" t="s">
        <v>863</v>
      </c>
    </row>
    <row r="46" spans="1:16" ht="30" customHeight="1">
      <c r="A46" s="357">
        <v>43</v>
      </c>
      <c r="B46" s="357" t="s">
        <v>997</v>
      </c>
      <c r="C46" s="369" t="s">
        <v>998</v>
      </c>
      <c r="D46" s="370" t="s">
        <v>999</v>
      </c>
      <c r="E46" s="369" t="s">
        <v>56</v>
      </c>
      <c r="F46" s="371">
        <v>289</v>
      </c>
      <c r="G46" s="372"/>
      <c r="H46" s="372"/>
      <c r="I46" s="357" t="s">
        <v>962</v>
      </c>
      <c r="J46" s="357" t="s">
        <v>863</v>
      </c>
      <c r="K46" s="373" t="s">
        <v>863</v>
      </c>
      <c r="L46" s="409" t="s">
        <v>856</v>
      </c>
      <c r="M46" s="357" t="s">
        <v>837</v>
      </c>
      <c r="N46" s="357" t="s">
        <v>896</v>
      </c>
      <c r="O46" s="421" t="s">
        <v>880</v>
      </c>
      <c r="P46" s="400" t="s">
        <v>863</v>
      </c>
    </row>
    <row r="47" spans="1:16" ht="30" customHeight="1">
      <c r="A47" s="357">
        <v>44</v>
      </c>
      <c r="B47" s="357" t="s">
        <v>987</v>
      </c>
      <c r="C47" s="369" t="s">
        <v>988</v>
      </c>
      <c r="D47" s="370" t="s">
        <v>1000</v>
      </c>
      <c r="E47" s="369" t="s">
        <v>56</v>
      </c>
      <c r="F47" s="371">
        <v>281</v>
      </c>
      <c r="G47" s="372"/>
      <c r="H47" s="372"/>
      <c r="I47" s="357" t="s">
        <v>834</v>
      </c>
      <c r="J47" s="420" t="s">
        <v>863</v>
      </c>
      <c r="K47" s="373" t="s">
        <v>863</v>
      </c>
      <c r="L47" s="409" t="s">
        <v>864</v>
      </c>
      <c r="M47" s="357" t="s">
        <v>854</v>
      </c>
      <c r="N47" s="398" t="s">
        <v>864</v>
      </c>
      <c r="O47" s="421" t="s">
        <v>996</v>
      </c>
      <c r="P47" s="400" t="s">
        <v>863</v>
      </c>
    </row>
    <row r="48" spans="1:16" ht="30" customHeight="1">
      <c r="A48" s="357">
        <v>45</v>
      </c>
      <c r="B48" s="357" t="s">
        <v>987</v>
      </c>
      <c r="C48" s="369" t="s">
        <v>998</v>
      </c>
      <c r="D48" s="370" t="s">
        <v>1001</v>
      </c>
      <c r="E48" s="369" t="s">
        <v>56</v>
      </c>
      <c r="F48" s="371">
        <v>107</v>
      </c>
      <c r="G48" s="372"/>
      <c r="H48" s="372"/>
      <c r="I48" s="357" t="s">
        <v>962</v>
      </c>
      <c r="J48" s="357" t="s">
        <v>1002</v>
      </c>
      <c r="K48" s="373" t="s">
        <v>872</v>
      </c>
      <c r="L48" s="396" t="s">
        <v>933</v>
      </c>
      <c r="M48" s="357" t="s">
        <v>1003</v>
      </c>
      <c r="N48" s="357" t="s">
        <v>896</v>
      </c>
      <c r="O48" s="419" t="s">
        <v>864</v>
      </c>
      <c r="P48" s="400" t="s">
        <v>863</v>
      </c>
    </row>
    <row r="49" spans="1:16" ht="30" customHeight="1">
      <c r="A49" s="357">
        <v>46</v>
      </c>
      <c r="B49" s="357" t="s">
        <v>987</v>
      </c>
      <c r="C49" s="369" t="s">
        <v>988</v>
      </c>
      <c r="D49" s="370" t="s">
        <v>1004</v>
      </c>
      <c r="E49" s="369" t="s">
        <v>56</v>
      </c>
      <c r="F49" s="371">
        <v>113</v>
      </c>
      <c r="G49" s="372"/>
      <c r="H49" s="372"/>
      <c r="I49" s="357" t="s">
        <v>1005</v>
      </c>
      <c r="J49" s="357" t="s">
        <v>962</v>
      </c>
      <c r="K49" s="373" t="s">
        <v>863</v>
      </c>
      <c r="L49" s="409" t="s">
        <v>915</v>
      </c>
      <c r="M49" s="357" t="s">
        <v>884</v>
      </c>
      <c r="N49" s="357" t="s">
        <v>915</v>
      </c>
      <c r="O49" s="421" t="s">
        <v>855</v>
      </c>
      <c r="P49" s="400" t="s">
        <v>872</v>
      </c>
    </row>
    <row r="50" spans="1:16" ht="30" customHeight="1">
      <c r="A50" s="357">
        <v>47</v>
      </c>
      <c r="B50" s="357" t="s">
        <v>987</v>
      </c>
      <c r="C50" s="369" t="s">
        <v>998</v>
      </c>
      <c r="D50" s="370" t="s">
        <v>1006</v>
      </c>
      <c r="E50" s="369" t="s">
        <v>56</v>
      </c>
      <c r="F50" s="371">
        <v>275</v>
      </c>
      <c r="G50" s="372"/>
      <c r="H50" s="372"/>
      <c r="I50" s="357" t="s">
        <v>882</v>
      </c>
      <c r="J50" s="357" t="s">
        <v>863</v>
      </c>
      <c r="K50" s="373" t="s">
        <v>863</v>
      </c>
      <c r="L50" s="409" t="s">
        <v>864</v>
      </c>
      <c r="M50" s="355" t="s">
        <v>1007</v>
      </c>
      <c r="N50" s="398" t="s">
        <v>864</v>
      </c>
      <c r="O50" s="421" t="s">
        <v>863</v>
      </c>
      <c r="P50" s="400" t="s">
        <v>863</v>
      </c>
    </row>
    <row r="51" spans="1:16" ht="30" customHeight="1">
      <c r="A51" s="357">
        <v>48</v>
      </c>
      <c r="B51" s="357" t="s">
        <v>987</v>
      </c>
      <c r="C51" s="369" t="s">
        <v>998</v>
      </c>
      <c r="D51" s="370" t="s">
        <v>1008</v>
      </c>
      <c r="E51" s="369" t="s">
        <v>56</v>
      </c>
      <c r="F51" s="371">
        <v>286</v>
      </c>
      <c r="G51" s="372"/>
      <c r="H51" s="372"/>
      <c r="I51" s="357" t="s">
        <v>889</v>
      </c>
      <c r="J51" s="357" t="s">
        <v>863</v>
      </c>
      <c r="K51" s="373" t="s">
        <v>863</v>
      </c>
      <c r="L51" s="396" t="s">
        <v>896</v>
      </c>
      <c r="M51" s="422" t="s">
        <v>1009</v>
      </c>
      <c r="N51" s="398" t="s">
        <v>864</v>
      </c>
      <c r="O51" s="421" t="s">
        <v>880</v>
      </c>
      <c r="P51" s="400" t="s">
        <v>863</v>
      </c>
    </row>
    <row r="52" spans="1:16" ht="30" customHeight="1">
      <c r="A52" s="357">
        <v>49</v>
      </c>
      <c r="B52" s="357" t="s">
        <v>987</v>
      </c>
      <c r="C52" s="369" t="s">
        <v>988</v>
      </c>
      <c r="D52" s="370" t="s">
        <v>1010</v>
      </c>
      <c r="E52" s="369" t="s">
        <v>56</v>
      </c>
      <c r="F52" s="371">
        <v>228</v>
      </c>
      <c r="G52" s="372"/>
      <c r="H52" s="372"/>
      <c r="I52" s="357" t="s">
        <v>889</v>
      </c>
      <c r="J52" s="357" t="s">
        <v>863</v>
      </c>
      <c r="K52" s="373" t="s">
        <v>863</v>
      </c>
      <c r="L52" s="396" t="s">
        <v>896</v>
      </c>
      <c r="M52" s="357" t="s">
        <v>915</v>
      </c>
      <c r="N52" s="398" t="s">
        <v>864</v>
      </c>
      <c r="O52" s="421" t="s">
        <v>854</v>
      </c>
      <c r="P52" s="400" t="s">
        <v>863</v>
      </c>
    </row>
    <row r="53" spans="1:16" ht="30" customHeight="1">
      <c r="A53" s="357">
        <v>50</v>
      </c>
      <c r="B53" s="357" t="s">
        <v>987</v>
      </c>
      <c r="C53" s="369" t="s">
        <v>1011</v>
      </c>
      <c r="D53" s="370" t="s">
        <v>1012</v>
      </c>
      <c r="E53" s="369" t="s">
        <v>56</v>
      </c>
      <c r="F53" s="371">
        <v>165</v>
      </c>
      <c r="G53" s="372"/>
      <c r="H53" s="372"/>
      <c r="I53" s="357" t="s">
        <v>962</v>
      </c>
      <c r="J53" s="357" t="s">
        <v>836</v>
      </c>
      <c r="K53" s="373" t="s">
        <v>863</v>
      </c>
      <c r="L53" s="409" t="s">
        <v>864</v>
      </c>
      <c r="M53" s="357" t="s">
        <v>848</v>
      </c>
      <c r="N53" s="357" t="s">
        <v>896</v>
      </c>
      <c r="O53" s="421" t="s">
        <v>880</v>
      </c>
      <c r="P53" s="400" t="s">
        <v>863</v>
      </c>
    </row>
    <row r="54" spans="1:16" ht="30" customHeight="1">
      <c r="A54" s="357">
        <v>51</v>
      </c>
      <c r="B54" s="357" t="s">
        <v>997</v>
      </c>
      <c r="C54" s="369" t="s">
        <v>1011</v>
      </c>
      <c r="D54" s="370" t="s">
        <v>1013</v>
      </c>
      <c r="E54" s="369" t="s">
        <v>56</v>
      </c>
      <c r="F54" s="371">
        <v>179</v>
      </c>
      <c r="G54" s="372"/>
      <c r="H54" s="372"/>
      <c r="I54" s="357" t="s">
        <v>889</v>
      </c>
      <c r="J54" s="420" t="s">
        <v>863</v>
      </c>
      <c r="K54" s="373" t="s">
        <v>863</v>
      </c>
      <c r="L54" s="396" t="s">
        <v>896</v>
      </c>
      <c r="M54" s="357" t="s">
        <v>890</v>
      </c>
      <c r="N54" s="398" t="s">
        <v>856</v>
      </c>
      <c r="O54" s="421" t="s">
        <v>880</v>
      </c>
      <c r="P54" s="400" t="s">
        <v>863</v>
      </c>
    </row>
    <row r="55" spans="1:16" ht="30" customHeight="1">
      <c r="A55" s="357">
        <v>52</v>
      </c>
      <c r="B55" s="357" t="s">
        <v>997</v>
      </c>
      <c r="C55" s="369" t="s">
        <v>1014</v>
      </c>
      <c r="D55" s="370" t="s">
        <v>348</v>
      </c>
      <c r="E55" s="369" t="s">
        <v>56</v>
      </c>
      <c r="F55" s="384">
        <v>574</v>
      </c>
      <c r="G55" s="372"/>
      <c r="H55" s="372"/>
      <c r="I55" s="357" t="s">
        <v>962</v>
      </c>
      <c r="J55" s="357" t="s">
        <v>863</v>
      </c>
      <c r="K55" s="373" t="s">
        <v>863</v>
      </c>
      <c r="L55" s="409" t="s">
        <v>864</v>
      </c>
      <c r="M55" s="357" t="s">
        <v>915</v>
      </c>
      <c r="N55" s="357" t="s">
        <v>994</v>
      </c>
      <c r="O55" s="421" t="s">
        <v>863</v>
      </c>
      <c r="P55" s="400" t="s">
        <v>863</v>
      </c>
    </row>
    <row r="56" spans="1:16" ht="30" customHeight="1">
      <c r="A56" s="357">
        <v>53</v>
      </c>
      <c r="B56" s="357" t="s">
        <v>987</v>
      </c>
      <c r="C56" s="369" t="s">
        <v>1011</v>
      </c>
      <c r="D56" s="370" t="s">
        <v>1015</v>
      </c>
      <c r="E56" s="369" t="s">
        <v>56</v>
      </c>
      <c r="F56" s="371">
        <v>130</v>
      </c>
      <c r="G56" s="372"/>
      <c r="H56" s="372"/>
      <c r="I56" s="357" t="s">
        <v>836</v>
      </c>
      <c r="J56" s="357" t="s">
        <v>962</v>
      </c>
      <c r="K56" s="373" t="s">
        <v>863</v>
      </c>
      <c r="L56" s="409" t="s">
        <v>864</v>
      </c>
      <c r="M56" s="357" t="s">
        <v>853</v>
      </c>
      <c r="N56" s="355">
        <v>141</v>
      </c>
      <c r="O56" s="421" t="s">
        <v>880</v>
      </c>
      <c r="P56" s="400" t="s">
        <v>863</v>
      </c>
    </row>
    <row r="57" spans="1:16" ht="30" customHeight="1">
      <c r="A57" s="357">
        <v>54</v>
      </c>
      <c r="B57" s="357" t="s">
        <v>987</v>
      </c>
      <c r="C57" s="369" t="s">
        <v>1016</v>
      </c>
      <c r="D57" s="370" t="s">
        <v>1017</v>
      </c>
      <c r="E57" s="369" t="s">
        <v>77</v>
      </c>
      <c r="F57" s="371">
        <v>92</v>
      </c>
      <c r="G57" s="372"/>
      <c r="H57" s="372"/>
      <c r="I57" s="357" t="s">
        <v>889</v>
      </c>
      <c r="J57" s="357" t="s">
        <v>872</v>
      </c>
      <c r="K57" s="373" t="s">
        <v>863</v>
      </c>
      <c r="L57" s="396" t="s">
        <v>890</v>
      </c>
      <c r="M57" s="357" t="s">
        <v>892</v>
      </c>
      <c r="N57" s="398" t="s">
        <v>864</v>
      </c>
      <c r="O57" s="421" t="s">
        <v>884</v>
      </c>
      <c r="P57" s="400" t="s">
        <v>863</v>
      </c>
    </row>
    <row r="58" spans="1:16" ht="30" customHeight="1">
      <c r="A58" s="357">
        <v>55</v>
      </c>
      <c r="B58" s="357" t="s">
        <v>987</v>
      </c>
      <c r="C58" s="369" t="s">
        <v>1016</v>
      </c>
      <c r="D58" s="370" t="s">
        <v>1018</v>
      </c>
      <c r="E58" s="369" t="s">
        <v>56</v>
      </c>
      <c r="F58" s="371">
        <v>147</v>
      </c>
      <c r="G58" s="372"/>
      <c r="H58" s="372"/>
      <c r="I58" s="357" t="s">
        <v>962</v>
      </c>
      <c r="J58" s="357" t="s">
        <v>962</v>
      </c>
      <c r="K58" s="373" t="s">
        <v>872</v>
      </c>
      <c r="L58" s="409" t="s">
        <v>864</v>
      </c>
      <c r="M58" s="357" t="s">
        <v>915</v>
      </c>
      <c r="N58" s="357" t="s">
        <v>915</v>
      </c>
      <c r="O58" s="423">
        <v>159</v>
      </c>
      <c r="P58" s="400" t="s">
        <v>863</v>
      </c>
    </row>
    <row r="59" spans="1:16" ht="30" customHeight="1">
      <c r="A59" s="357">
        <v>56</v>
      </c>
      <c r="B59" s="357" t="s">
        <v>987</v>
      </c>
      <c r="C59" s="369" t="s">
        <v>1019</v>
      </c>
      <c r="D59" s="370" t="s">
        <v>1020</v>
      </c>
      <c r="E59" s="369" t="s">
        <v>56</v>
      </c>
      <c r="F59" s="371">
        <v>75</v>
      </c>
      <c r="G59" s="372"/>
      <c r="H59" s="372"/>
      <c r="I59" s="357" t="s">
        <v>882</v>
      </c>
      <c r="J59" s="357" t="s">
        <v>858</v>
      </c>
      <c r="K59" s="373" t="s">
        <v>863</v>
      </c>
      <c r="L59" s="396" t="s">
        <v>1021</v>
      </c>
      <c r="M59" s="357" t="s">
        <v>915</v>
      </c>
      <c r="N59" s="398" t="s">
        <v>864</v>
      </c>
      <c r="O59" s="421" t="s">
        <v>861</v>
      </c>
      <c r="P59" s="400" t="s">
        <v>863</v>
      </c>
    </row>
    <row r="60" spans="1:16" ht="30" customHeight="1">
      <c r="A60" s="357">
        <v>57</v>
      </c>
      <c r="B60" s="357" t="s">
        <v>997</v>
      </c>
      <c r="C60" s="369" t="s">
        <v>1019</v>
      </c>
      <c r="D60" s="370" t="s">
        <v>1022</v>
      </c>
      <c r="E60" s="369" t="s">
        <v>56</v>
      </c>
      <c r="F60" s="371">
        <v>9</v>
      </c>
      <c r="G60" s="385" t="s">
        <v>1023</v>
      </c>
      <c r="H60" s="372"/>
      <c r="I60" s="357" t="s">
        <v>858</v>
      </c>
      <c r="J60" s="357" t="s">
        <v>889</v>
      </c>
      <c r="K60" s="373" t="s">
        <v>882</v>
      </c>
      <c r="L60" s="396" t="s">
        <v>1024</v>
      </c>
      <c r="M60" s="357" t="s">
        <v>1003</v>
      </c>
      <c r="N60" s="398" t="s">
        <v>864</v>
      </c>
      <c r="O60" s="421" t="s">
        <v>863</v>
      </c>
      <c r="P60" s="400"/>
    </row>
    <row r="61" spans="1:16" ht="30" customHeight="1">
      <c r="A61" s="357">
        <v>58</v>
      </c>
      <c r="B61" s="357" t="s">
        <v>987</v>
      </c>
      <c r="C61" s="369" t="s">
        <v>1019</v>
      </c>
      <c r="D61" s="370" t="s">
        <v>434</v>
      </c>
      <c r="E61" s="369" t="s">
        <v>56</v>
      </c>
      <c r="F61" s="371">
        <v>113</v>
      </c>
      <c r="G61" s="372"/>
      <c r="H61" s="372"/>
      <c r="I61" s="357" t="s">
        <v>962</v>
      </c>
      <c r="J61" s="357" t="s">
        <v>962</v>
      </c>
      <c r="K61" s="373" t="s">
        <v>882</v>
      </c>
      <c r="L61" s="396" t="s">
        <v>933</v>
      </c>
      <c r="M61" s="357" t="s">
        <v>1025</v>
      </c>
      <c r="N61" s="357" t="s">
        <v>1026</v>
      </c>
      <c r="O61" s="421" t="s">
        <v>1003</v>
      </c>
      <c r="P61" s="397" t="s">
        <v>864</v>
      </c>
    </row>
    <row r="62" spans="1:16" ht="30" customHeight="1">
      <c r="A62" s="357">
        <v>59</v>
      </c>
      <c r="B62" s="357" t="s">
        <v>987</v>
      </c>
      <c r="C62" s="369" t="s">
        <v>1019</v>
      </c>
      <c r="D62" s="370" t="s">
        <v>1027</v>
      </c>
      <c r="E62" s="369" t="s">
        <v>77</v>
      </c>
      <c r="F62" s="371">
        <v>119</v>
      </c>
      <c r="G62" s="372"/>
      <c r="H62" s="372"/>
      <c r="I62" s="357" t="s">
        <v>889</v>
      </c>
      <c r="J62" s="357" t="s">
        <v>962</v>
      </c>
      <c r="K62" s="373" t="s">
        <v>882</v>
      </c>
      <c r="L62" s="396" t="s">
        <v>896</v>
      </c>
      <c r="M62" s="357" t="s">
        <v>1028</v>
      </c>
      <c r="N62" s="398" t="s">
        <v>856</v>
      </c>
      <c r="O62" s="421" t="s">
        <v>880</v>
      </c>
      <c r="P62" s="397" t="s">
        <v>864</v>
      </c>
    </row>
    <row r="63" spans="1:16" ht="30" customHeight="1">
      <c r="A63" s="357">
        <v>60</v>
      </c>
      <c r="B63" s="357" t="s">
        <v>987</v>
      </c>
      <c r="C63" s="369" t="s">
        <v>1019</v>
      </c>
      <c r="D63" s="370" t="s">
        <v>1029</v>
      </c>
      <c r="E63" s="369" t="s">
        <v>56</v>
      </c>
      <c r="F63" s="371">
        <v>169</v>
      </c>
      <c r="G63" s="372"/>
      <c r="H63" s="372"/>
      <c r="I63" s="357" t="s">
        <v>962</v>
      </c>
      <c r="J63" s="357" t="s">
        <v>836</v>
      </c>
      <c r="K63" s="373" t="s">
        <v>299</v>
      </c>
      <c r="L63" s="409" t="s">
        <v>864</v>
      </c>
      <c r="M63" s="422" t="s">
        <v>1030</v>
      </c>
      <c r="N63" s="357" t="s">
        <v>1031</v>
      </c>
      <c r="O63" s="421" t="s">
        <v>896</v>
      </c>
      <c r="P63" s="400"/>
    </row>
    <row r="64" spans="1:16" ht="30" customHeight="1">
      <c r="A64" s="357">
        <v>61</v>
      </c>
      <c r="B64" s="424" t="s">
        <v>987</v>
      </c>
      <c r="C64" s="425" t="s">
        <v>1019</v>
      </c>
      <c r="D64" s="426" t="s">
        <v>1032</v>
      </c>
      <c r="E64" s="425" t="s">
        <v>56</v>
      </c>
      <c r="F64" s="427">
        <v>145</v>
      </c>
      <c r="G64" s="428"/>
      <c r="H64" s="428"/>
      <c r="I64" s="424" t="s">
        <v>836</v>
      </c>
      <c r="J64" s="424" t="s">
        <v>1033</v>
      </c>
      <c r="K64" s="429" t="s">
        <v>1033</v>
      </c>
      <c r="L64" s="430" t="s">
        <v>864</v>
      </c>
      <c r="M64" s="424" t="s">
        <v>1003</v>
      </c>
      <c r="N64" s="424" t="s">
        <v>915</v>
      </c>
      <c r="O64" s="431" t="s">
        <v>880</v>
      </c>
      <c r="P64" s="432" t="s">
        <v>863</v>
      </c>
    </row>
    <row r="65" spans="4:17" ht="20.100000000000001" customHeight="1"/>
    <row r="66" spans="4:17" ht="20.100000000000001" customHeight="1"/>
    <row r="67" spans="4:17" ht="20.100000000000001" customHeight="1"/>
    <row r="68" spans="4:17" ht="20.100000000000001" customHeight="1"/>
    <row r="69" spans="4:17" ht="20.100000000000001" customHeight="1"/>
    <row r="70" spans="4:17" ht="20.100000000000001" customHeight="1"/>
    <row r="71" spans="4:17" ht="20.100000000000001" customHeight="1"/>
    <row r="72" spans="4:17" ht="20.100000000000001" customHeight="1"/>
    <row r="73" spans="4:17" ht="20.100000000000001" customHeight="1"/>
    <row r="74" spans="4:17" ht="20.100000000000001" customHeight="1"/>
    <row r="75" spans="4:17" ht="20.100000000000001" customHeight="1"/>
    <row r="76" spans="4:17" ht="20.100000000000001" customHeight="1"/>
    <row r="77" spans="4:17" ht="20.100000000000001" customHeight="1"/>
    <row r="78" spans="4:17" ht="20.100000000000001" customHeight="1"/>
    <row r="79" spans="4:17" s="349" customFormat="1" ht="20.100000000000001" customHeight="1">
      <c r="D79" s="348"/>
      <c r="F79" s="348"/>
      <c r="G79" s="348"/>
      <c r="H79" s="348"/>
      <c r="Q79" s="348"/>
    </row>
    <row r="80" spans="4:17" s="349" customFormat="1" ht="20.100000000000001" customHeight="1">
      <c r="D80" s="348"/>
      <c r="F80" s="348"/>
      <c r="G80" s="348"/>
      <c r="H80" s="348"/>
      <c r="Q80" s="348"/>
    </row>
    <row r="81" spans="4:17" s="349" customFormat="1" ht="20.100000000000001" customHeight="1">
      <c r="D81" s="348"/>
      <c r="F81" s="348"/>
      <c r="G81" s="348"/>
      <c r="H81" s="348"/>
      <c r="Q81" s="348"/>
    </row>
    <row r="82" spans="4:17" s="349" customFormat="1" ht="20.100000000000001" customHeight="1">
      <c r="D82" s="348"/>
      <c r="F82" s="348"/>
      <c r="G82" s="348"/>
      <c r="H82" s="348"/>
      <c r="Q82" s="348"/>
    </row>
    <row r="83" spans="4:17" s="349" customFormat="1" ht="20.100000000000001" customHeight="1">
      <c r="D83" s="348"/>
      <c r="F83" s="348"/>
      <c r="G83" s="348"/>
      <c r="H83" s="348"/>
      <c r="Q83" s="348"/>
    </row>
    <row r="84" spans="4:17" s="349" customFormat="1" ht="20.100000000000001" customHeight="1">
      <c r="D84" s="348"/>
      <c r="F84" s="348"/>
      <c r="G84" s="348"/>
      <c r="H84" s="348"/>
      <c r="Q84" s="348"/>
    </row>
    <row r="85" spans="4:17" s="349" customFormat="1" ht="20.100000000000001" customHeight="1">
      <c r="D85" s="348"/>
      <c r="F85" s="348"/>
      <c r="G85" s="348"/>
      <c r="H85" s="348"/>
      <c r="Q85" s="348"/>
    </row>
    <row r="86" spans="4:17" s="349" customFormat="1" ht="20.100000000000001" customHeight="1">
      <c r="D86" s="348"/>
      <c r="F86" s="348"/>
      <c r="G86" s="348"/>
      <c r="H86" s="348"/>
      <c r="Q86" s="348"/>
    </row>
    <row r="87" spans="4:17" s="349" customFormat="1" ht="20.100000000000001" customHeight="1">
      <c r="D87" s="348"/>
      <c r="F87" s="348"/>
      <c r="G87" s="348"/>
      <c r="H87" s="348"/>
      <c r="Q87" s="348"/>
    </row>
    <row r="88" spans="4:17" s="349" customFormat="1" ht="20.100000000000001" customHeight="1">
      <c r="D88" s="348"/>
      <c r="F88" s="348"/>
      <c r="G88" s="348"/>
      <c r="H88" s="348"/>
      <c r="Q88" s="348"/>
    </row>
    <row r="89" spans="4:17" s="349" customFormat="1" ht="20.100000000000001" customHeight="1">
      <c r="D89" s="348"/>
      <c r="F89" s="348"/>
      <c r="G89" s="348"/>
      <c r="H89" s="348"/>
      <c r="Q89" s="348"/>
    </row>
    <row r="90" spans="4:17" s="349" customFormat="1" ht="20.100000000000001" customHeight="1">
      <c r="D90" s="348"/>
      <c r="F90" s="348"/>
      <c r="G90" s="348"/>
      <c r="H90" s="348"/>
      <c r="Q90" s="348"/>
    </row>
    <row r="91" spans="4:17" s="349" customFormat="1" ht="20.100000000000001" customHeight="1">
      <c r="D91" s="348"/>
      <c r="F91" s="348"/>
      <c r="G91" s="348"/>
      <c r="H91" s="348"/>
      <c r="Q91" s="348"/>
    </row>
    <row r="92" spans="4:17" s="349" customFormat="1" ht="20.100000000000001" customHeight="1">
      <c r="D92" s="348"/>
      <c r="F92" s="348"/>
      <c r="G92" s="348"/>
      <c r="H92" s="348"/>
      <c r="Q92" s="348"/>
    </row>
    <row r="93" spans="4:17" s="349" customFormat="1" ht="20.100000000000001" customHeight="1">
      <c r="D93" s="348"/>
      <c r="F93" s="348"/>
      <c r="G93" s="348"/>
      <c r="H93" s="348"/>
      <c r="Q93" s="348"/>
    </row>
    <row r="94" spans="4:17" s="349" customFormat="1" ht="20.100000000000001" customHeight="1">
      <c r="D94" s="348"/>
      <c r="F94" s="348"/>
      <c r="G94" s="348"/>
      <c r="H94" s="348"/>
      <c r="Q94" s="348"/>
    </row>
    <row r="95" spans="4:17" s="349" customFormat="1" ht="20.100000000000001" customHeight="1">
      <c r="D95" s="348"/>
      <c r="F95" s="348"/>
      <c r="G95" s="348"/>
      <c r="H95" s="348"/>
      <c r="Q95" s="348"/>
    </row>
    <row r="96" spans="4:17" s="349" customFormat="1" ht="20.100000000000001" customHeight="1">
      <c r="D96" s="348"/>
      <c r="F96" s="348"/>
      <c r="G96" s="348"/>
      <c r="H96" s="348"/>
      <c r="Q96" s="348"/>
    </row>
    <row r="97" spans="4:17" s="349" customFormat="1" ht="20.100000000000001" customHeight="1">
      <c r="D97" s="348"/>
      <c r="F97" s="348"/>
      <c r="G97" s="348"/>
      <c r="H97" s="348"/>
      <c r="Q97" s="348"/>
    </row>
    <row r="98" spans="4:17" s="349" customFormat="1" ht="20.100000000000001" customHeight="1">
      <c r="D98" s="348"/>
      <c r="F98" s="348"/>
      <c r="G98" s="348"/>
      <c r="H98" s="348"/>
      <c r="Q98" s="348"/>
    </row>
    <row r="99" spans="4:17" s="349" customFormat="1" ht="20.100000000000001" customHeight="1">
      <c r="D99" s="348"/>
      <c r="F99" s="348"/>
      <c r="G99" s="348"/>
      <c r="H99" s="348"/>
      <c r="Q99" s="348"/>
    </row>
    <row r="100" spans="4:17" s="349" customFormat="1" ht="20.100000000000001" customHeight="1">
      <c r="D100" s="348"/>
      <c r="F100" s="348"/>
      <c r="G100" s="348"/>
      <c r="H100" s="348"/>
      <c r="Q100" s="348"/>
    </row>
    <row r="101" spans="4:17" s="349" customFormat="1" ht="20.100000000000001" customHeight="1">
      <c r="D101" s="348"/>
      <c r="F101" s="348"/>
      <c r="G101" s="348"/>
      <c r="H101" s="348"/>
      <c r="Q101" s="348"/>
    </row>
    <row r="102" spans="4:17" s="349" customFormat="1" ht="20.100000000000001" customHeight="1">
      <c r="D102" s="348"/>
      <c r="F102" s="348"/>
      <c r="G102" s="348"/>
      <c r="H102" s="348"/>
      <c r="Q102" s="348"/>
    </row>
    <row r="103" spans="4:17" s="349" customFormat="1" ht="20.100000000000001" customHeight="1">
      <c r="D103" s="348"/>
      <c r="F103" s="348"/>
      <c r="G103" s="348"/>
      <c r="H103" s="348"/>
      <c r="Q103" s="348"/>
    </row>
    <row r="104" spans="4:17" s="349" customFormat="1" ht="20.100000000000001" customHeight="1">
      <c r="D104" s="348"/>
      <c r="F104" s="348"/>
      <c r="G104" s="348"/>
      <c r="H104" s="348"/>
      <c r="Q104" s="348"/>
    </row>
    <row r="105" spans="4:17" s="349" customFormat="1" ht="20.100000000000001" customHeight="1">
      <c r="D105" s="348"/>
      <c r="F105" s="348"/>
      <c r="G105" s="348"/>
      <c r="H105" s="348"/>
      <c r="Q105" s="348"/>
    </row>
    <row r="106" spans="4:17" s="349" customFormat="1" ht="20.100000000000001" customHeight="1">
      <c r="D106" s="348"/>
      <c r="F106" s="348"/>
      <c r="G106" s="348"/>
      <c r="H106" s="348"/>
      <c r="Q106" s="348"/>
    </row>
    <row r="107" spans="4:17" s="349" customFormat="1" ht="20.100000000000001" customHeight="1">
      <c r="D107" s="348"/>
      <c r="F107" s="348"/>
      <c r="G107" s="348"/>
      <c r="H107" s="348"/>
      <c r="Q107" s="348"/>
    </row>
    <row r="108" spans="4:17" s="349" customFormat="1" ht="20.100000000000001" customHeight="1">
      <c r="D108" s="348"/>
      <c r="F108" s="348"/>
      <c r="G108" s="348"/>
      <c r="H108" s="348"/>
      <c r="Q108" s="348"/>
    </row>
    <row r="109" spans="4:17" s="349" customFormat="1" ht="20.100000000000001" customHeight="1">
      <c r="D109" s="348"/>
      <c r="F109" s="348"/>
      <c r="G109" s="348"/>
      <c r="H109" s="348"/>
      <c r="Q109" s="348"/>
    </row>
    <row r="110" spans="4:17" s="349" customFormat="1" ht="20.100000000000001" customHeight="1">
      <c r="D110" s="348"/>
      <c r="F110" s="348"/>
      <c r="G110" s="348"/>
      <c r="H110" s="348"/>
      <c r="Q110" s="348"/>
    </row>
    <row r="111" spans="4:17" s="349" customFormat="1" ht="20.100000000000001" customHeight="1">
      <c r="D111" s="348"/>
      <c r="F111" s="348"/>
      <c r="G111" s="348"/>
      <c r="H111" s="348"/>
      <c r="Q111" s="348"/>
    </row>
    <row r="112" spans="4:17" s="349" customFormat="1" ht="20.100000000000001" customHeight="1">
      <c r="D112" s="348"/>
      <c r="F112" s="348"/>
      <c r="G112" s="348"/>
      <c r="H112" s="348"/>
      <c r="Q112" s="348"/>
    </row>
    <row r="113" spans="4:17" s="349" customFormat="1" ht="20.100000000000001" customHeight="1">
      <c r="D113" s="348"/>
      <c r="F113" s="348"/>
      <c r="G113" s="348"/>
      <c r="H113" s="348"/>
      <c r="Q113" s="348"/>
    </row>
    <row r="114" spans="4:17" s="349" customFormat="1" ht="20.100000000000001" customHeight="1">
      <c r="D114" s="348"/>
      <c r="F114" s="348"/>
      <c r="G114" s="348"/>
      <c r="H114" s="348"/>
      <c r="Q114" s="348"/>
    </row>
    <row r="115" spans="4:17" s="349" customFormat="1" ht="20.100000000000001" customHeight="1">
      <c r="D115" s="348"/>
      <c r="F115" s="348"/>
      <c r="G115" s="348"/>
      <c r="H115" s="348"/>
      <c r="Q115" s="348"/>
    </row>
    <row r="116" spans="4:17" s="349" customFormat="1" ht="20.100000000000001" customHeight="1">
      <c r="D116" s="348"/>
      <c r="F116" s="348"/>
      <c r="G116" s="348"/>
      <c r="H116" s="348"/>
      <c r="Q116" s="348"/>
    </row>
    <row r="117" spans="4:17" s="349" customFormat="1" ht="20.100000000000001" customHeight="1">
      <c r="D117" s="348"/>
      <c r="F117" s="348"/>
      <c r="G117" s="348"/>
      <c r="H117" s="348"/>
      <c r="Q117" s="348"/>
    </row>
    <row r="118" spans="4:17" s="349" customFormat="1" ht="20.100000000000001" customHeight="1">
      <c r="D118" s="348"/>
      <c r="F118" s="348"/>
      <c r="G118" s="348"/>
      <c r="H118" s="348"/>
      <c r="Q118" s="348"/>
    </row>
    <row r="119" spans="4:17" s="349" customFormat="1" ht="20.100000000000001" customHeight="1">
      <c r="D119" s="348"/>
      <c r="F119" s="348"/>
      <c r="G119" s="348"/>
      <c r="H119" s="348"/>
      <c r="Q119" s="348"/>
    </row>
    <row r="120" spans="4:17" s="349" customFormat="1" ht="20.100000000000001" customHeight="1">
      <c r="D120" s="348"/>
      <c r="F120" s="348"/>
      <c r="G120" s="348"/>
      <c r="H120" s="348"/>
      <c r="Q120" s="348"/>
    </row>
    <row r="121" spans="4:17" s="349" customFormat="1" ht="20.100000000000001" customHeight="1">
      <c r="D121" s="348"/>
      <c r="F121" s="348"/>
      <c r="G121" s="348"/>
      <c r="H121" s="348"/>
      <c r="Q121" s="348"/>
    </row>
    <row r="122" spans="4:17" s="349" customFormat="1" ht="20.100000000000001" customHeight="1">
      <c r="D122" s="348"/>
      <c r="F122" s="348"/>
      <c r="G122" s="348"/>
      <c r="H122" s="348"/>
      <c r="Q122" s="348"/>
    </row>
    <row r="123" spans="4:17" s="349" customFormat="1" ht="20.100000000000001" customHeight="1">
      <c r="D123" s="348"/>
      <c r="F123" s="348"/>
      <c r="G123" s="348"/>
      <c r="H123" s="348"/>
      <c r="Q123" s="348"/>
    </row>
    <row r="124" spans="4:17" s="349" customFormat="1" ht="20.100000000000001" customHeight="1">
      <c r="D124" s="348"/>
      <c r="F124" s="348"/>
      <c r="G124" s="348"/>
      <c r="H124" s="348"/>
      <c r="Q124" s="348"/>
    </row>
    <row r="125" spans="4:17" s="349" customFormat="1" ht="20.100000000000001" customHeight="1">
      <c r="D125" s="348"/>
      <c r="F125" s="348"/>
      <c r="G125" s="348"/>
      <c r="H125" s="348"/>
      <c r="Q125" s="348"/>
    </row>
    <row r="126" spans="4:17" s="349" customFormat="1" ht="20.100000000000001" customHeight="1">
      <c r="D126" s="348"/>
      <c r="F126" s="348"/>
      <c r="G126" s="348"/>
      <c r="H126" s="348"/>
      <c r="Q126" s="348"/>
    </row>
    <row r="127" spans="4:17" s="349" customFormat="1" ht="20.100000000000001" customHeight="1">
      <c r="D127" s="348"/>
      <c r="F127" s="348"/>
      <c r="G127" s="348"/>
      <c r="H127" s="348"/>
      <c r="Q127" s="348"/>
    </row>
    <row r="128" spans="4:17" s="349" customFormat="1" ht="20.100000000000001" customHeight="1">
      <c r="D128" s="348"/>
      <c r="F128" s="348"/>
      <c r="G128" s="348"/>
      <c r="H128" s="348"/>
      <c r="Q128" s="348"/>
    </row>
    <row r="129" spans="4:17" s="349" customFormat="1" ht="20.100000000000001" customHeight="1">
      <c r="D129" s="348"/>
      <c r="F129" s="348"/>
      <c r="G129" s="348"/>
      <c r="H129" s="348"/>
      <c r="Q129" s="348"/>
    </row>
    <row r="130" spans="4:17" s="349" customFormat="1" ht="20.100000000000001" customHeight="1">
      <c r="D130" s="348"/>
      <c r="F130" s="348"/>
      <c r="G130" s="348"/>
      <c r="H130" s="348"/>
      <c r="Q130" s="348"/>
    </row>
    <row r="131" spans="4:17" s="349" customFormat="1" ht="20.100000000000001" customHeight="1">
      <c r="D131" s="348"/>
      <c r="F131" s="348"/>
      <c r="G131" s="348"/>
      <c r="H131" s="348"/>
      <c r="Q131" s="348"/>
    </row>
    <row r="132" spans="4:17" s="349" customFormat="1" ht="20.100000000000001" customHeight="1">
      <c r="D132" s="348"/>
      <c r="F132" s="348"/>
      <c r="G132" s="348"/>
      <c r="H132" s="348"/>
      <c r="Q132" s="348"/>
    </row>
    <row r="133" spans="4:17" s="349" customFormat="1" ht="20.100000000000001" customHeight="1">
      <c r="D133" s="348"/>
      <c r="F133" s="348"/>
      <c r="G133" s="348"/>
      <c r="H133" s="348"/>
      <c r="Q133" s="348"/>
    </row>
    <row r="134" spans="4:17" s="349" customFormat="1" ht="20.100000000000001" customHeight="1">
      <c r="D134" s="348"/>
      <c r="F134" s="348"/>
      <c r="G134" s="348"/>
      <c r="H134" s="348"/>
      <c r="Q134" s="348"/>
    </row>
    <row r="135" spans="4:17" s="349" customFormat="1" ht="20.100000000000001" customHeight="1">
      <c r="D135" s="348"/>
      <c r="F135" s="348"/>
      <c r="G135" s="348"/>
      <c r="H135" s="348"/>
      <c r="Q135" s="348"/>
    </row>
    <row r="136" spans="4:17" s="349" customFormat="1" ht="20.100000000000001" customHeight="1">
      <c r="D136" s="348"/>
      <c r="F136" s="348"/>
      <c r="G136" s="348"/>
      <c r="H136" s="348"/>
      <c r="Q136" s="348"/>
    </row>
    <row r="137" spans="4:17" s="349" customFormat="1" ht="20.100000000000001" customHeight="1">
      <c r="D137" s="348"/>
      <c r="F137" s="348"/>
      <c r="G137" s="348"/>
      <c r="H137" s="348"/>
      <c r="Q137" s="348"/>
    </row>
    <row r="138" spans="4:17" s="349" customFormat="1" ht="20.100000000000001" customHeight="1">
      <c r="D138" s="348"/>
      <c r="F138" s="348"/>
      <c r="G138" s="348"/>
      <c r="H138" s="348"/>
      <c r="Q138" s="348"/>
    </row>
    <row r="139" spans="4:17" s="349" customFormat="1" ht="20.100000000000001" customHeight="1">
      <c r="D139" s="348"/>
      <c r="F139" s="348"/>
      <c r="G139" s="348"/>
      <c r="H139" s="348"/>
      <c r="Q139" s="348"/>
    </row>
    <row r="140" spans="4:17" s="349" customFormat="1" ht="20.100000000000001" customHeight="1">
      <c r="D140" s="348"/>
      <c r="F140" s="348"/>
      <c r="G140" s="348"/>
      <c r="H140" s="348"/>
      <c r="Q140" s="348"/>
    </row>
    <row r="141" spans="4:17" s="349" customFormat="1" ht="20.100000000000001" customHeight="1">
      <c r="D141" s="348"/>
      <c r="F141" s="348"/>
      <c r="G141" s="348"/>
      <c r="H141" s="348"/>
      <c r="Q141" s="348"/>
    </row>
    <row r="142" spans="4:17" s="349" customFormat="1" ht="20.100000000000001" customHeight="1">
      <c r="D142" s="348"/>
      <c r="F142" s="348"/>
      <c r="G142" s="348"/>
      <c r="H142" s="348"/>
      <c r="Q142" s="348"/>
    </row>
    <row r="143" spans="4:17" s="349" customFormat="1" ht="20.100000000000001" customHeight="1">
      <c r="D143" s="348"/>
      <c r="F143" s="348"/>
      <c r="G143" s="348"/>
      <c r="H143" s="348"/>
      <c r="Q143" s="348"/>
    </row>
    <row r="144" spans="4:17" s="349" customFormat="1" ht="20.100000000000001" customHeight="1">
      <c r="D144" s="348"/>
      <c r="F144" s="348"/>
      <c r="G144" s="348"/>
      <c r="H144" s="348"/>
      <c r="Q144" s="348"/>
    </row>
    <row r="145" spans="4:17" s="349" customFormat="1" ht="20.100000000000001" customHeight="1">
      <c r="D145" s="348"/>
      <c r="F145" s="348"/>
      <c r="G145" s="348"/>
      <c r="H145" s="348"/>
      <c r="Q145" s="348"/>
    </row>
    <row r="146" spans="4:17" s="349" customFormat="1" ht="20.100000000000001" customHeight="1">
      <c r="D146" s="348"/>
      <c r="F146" s="348"/>
      <c r="G146" s="348"/>
      <c r="H146" s="348"/>
      <c r="Q146" s="348"/>
    </row>
    <row r="147" spans="4:17" s="349" customFormat="1" ht="20.100000000000001" customHeight="1">
      <c r="D147" s="348"/>
      <c r="F147" s="348"/>
      <c r="G147" s="348"/>
      <c r="H147" s="348"/>
      <c r="Q147" s="348"/>
    </row>
    <row r="148" spans="4:17" s="349" customFormat="1" ht="20.100000000000001" customHeight="1">
      <c r="D148" s="348"/>
      <c r="F148" s="348"/>
      <c r="G148" s="348"/>
      <c r="H148" s="348"/>
      <c r="Q148" s="348"/>
    </row>
    <row r="149" spans="4:17" s="349" customFormat="1" ht="20.100000000000001" customHeight="1">
      <c r="D149" s="348"/>
      <c r="F149" s="348"/>
      <c r="G149" s="348"/>
      <c r="H149" s="348"/>
      <c r="Q149" s="348"/>
    </row>
    <row r="150" spans="4:17" s="349" customFormat="1" ht="20.100000000000001" customHeight="1">
      <c r="D150" s="348"/>
      <c r="F150" s="348"/>
      <c r="G150" s="348"/>
      <c r="H150" s="348"/>
      <c r="Q150" s="348"/>
    </row>
    <row r="151" spans="4:17" s="349" customFormat="1" ht="20.100000000000001" customHeight="1">
      <c r="D151" s="348"/>
      <c r="F151" s="348"/>
      <c r="G151" s="348"/>
      <c r="H151" s="348"/>
      <c r="Q151" s="348"/>
    </row>
    <row r="152" spans="4:17" s="349" customFormat="1" ht="20.100000000000001" customHeight="1">
      <c r="D152" s="348"/>
      <c r="F152" s="348"/>
      <c r="G152" s="348"/>
      <c r="H152" s="348"/>
      <c r="Q152" s="348"/>
    </row>
    <row r="153" spans="4:17" s="349" customFormat="1" ht="20.100000000000001" customHeight="1">
      <c r="D153" s="348"/>
      <c r="F153" s="348"/>
      <c r="G153" s="348"/>
      <c r="H153" s="348"/>
      <c r="Q153" s="348"/>
    </row>
    <row r="154" spans="4:17" s="349" customFormat="1" ht="20.100000000000001" customHeight="1">
      <c r="D154" s="348"/>
      <c r="F154" s="348"/>
      <c r="G154" s="348"/>
      <c r="H154" s="348"/>
      <c r="Q154" s="348"/>
    </row>
    <row r="155" spans="4:17" s="349" customFormat="1" ht="20.100000000000001" customHeight="1">
      <c r="D155" s="348"/>
      <c r="F155" s="348"/>
      <c r="G155" s="348"/>
      <c r="H155" s="348"/>
      <c r="Q155" s="348"/>
    </row>
    <row r="156" spans="4:17" s="349" customFormat="1" ht="20.100000000000001" customHeight="1">
      <c r="D156" s="348"/>
      <c r="F156" s="348"/>
      <c r="G156" s="348"/>
      <c r="H156" s="348"/>
      <c r="Q156" s="348"/>
    </row>
    <row r="157" spans="4:17" s="349" customFormat="1" ht="20.100000000000001" customHeight="1">
      <c r="D157" s="348"/>
      <c r="F157" s="348"/>
      <c r="G157" s="348"/>
      <c r="H157" s="348"/>
      <c r="Q157" s="348"/>
    </row>
    <row r="158" spans="4:17" s="349" customFormat="1" ht="20.100000000000001" customHeight="1">
      <c r="D158" s="348"/>
      <c r="F158" s="348"/>
      <c r="G158" s="348"/>
      <c r="H158" s="348"/>
      <c r="Q158" s="348"/>
    </row>
    <row r="159" spans="4:17" s="349" customFormat="1" ht="20.100000000000001" customHeight="1">
      <c r="D159" s="348"/>
      <c r="F159" s="348"/>
      <c r="G159" s="348"/>
      <c r="H159" s="348"/>
      <c r="Q159" s="348"/>
    </row>
    <row r="160" spans="4:17" s="349" customFormat="1" ht="20.100000000000001" customHeight="1">
      <c r="D160" s="348"/>
      <c r="F160" s="348"/>
      <c r="G160" s="348"/>
      <c r="H160" s="348"/>
      <c r="Q160" s="348"/>
    </row>
    <row r="161" spans="4:17" s="349" customFormat="1" ht="20.100000000000001" customHeight="1">
      <c r="D161" s="348"/>
      <c r="F161" s="348"/>
      <c r="G161" s="348"/>
      <c r="H161" s="348"/>
      <c r="Q161" s="348"/>
    </row>
    <row r="162" spans="4:17" s="349" customFormat="1" ht="20.100000000000001" customHeight="1">
      <c r="D162" s="348"/>
      <c r="F162" s="348"/>
      <c r="G162" s="348"/>
      <c r="H162" s="348"/>
      <c r="Q162" s="348"/>
    </row>
    <row r="163" spans="4:17" s="349" customFormat="1" ht="20.100000000000001" customHeight="1">
      <c r="D163" s="348"/>
      <c r="F163" s="348"/>
      <c r="G163" s="348"/>
      <c r="H163" s="348"/>
      <c r="Q163" s="348"/>
    </row>
    <row r="164" spans="4:17" s="349" customFormat="1" ht="20.100000000000001" customHeight="1">
      <c r="D164" s="348"/>
      <c r="F164" s="348"/>
      <c r="G164" s="348"/>
      <c r="H164" s="348"/>
      <c r="Q164" s="348"/>
    </row>
    <row r="165" spans="4:17" s="349" customFormat="1" ht="20.100000000000001" customHeight="1">
      <c r="D165" s="348"/>
      <c r="F165" s="348"/>
      <c r="G165" s="348"/>
      <c r="H165" s="348"/>
      <c r="Q165" s="348"/>
    </row>
    <row r="166" spans="4:17" s="349" customFormat="1" ht="20.100000000000001" customHeight="1">
      <c r="D166" s="348"/>
      <c r="F166" s="348"/>
      <c r="G166" s="348"/>
      <c r="H166" s="348"/>
      <c r="Q166" s="348"/>
    </row>
    <row r="167" spans="4:17" s="349" customFormat="1" ht="20.100000000000001" customHeight="1">
      <c r="D167" s="348"/>
      <c r="F167" s="348"/>
      <c r="G167" s="348"/>
      <c r="H167" s="348"/>
      <c r="Q167" s="348"/>
    </row>
    <row r="168" spans="4:17" s="349" customFormat="1" ht="20.100000000000001" customHeight="1">
      <c r="D168" s="348"/>
      <c r="F168" s="348"/>
      <c r="G168" s="348"/>
      <c r="H168" s="348"/>
      <c r="Q168" s="348"/>
    </row>
    <row r="169" spans="4:17" s="349" customFormat="1" ht="20.100000000000001" customHeight="1">
      <c r="D169" s="348"/>
      <c r="F169" s="348"/>
      <c r="G169" s="348"/>
      <c r="H169" s="348"/>
      <c r="Q169" s="348"/>
    </row>
    <row r="170" spans="4:17" s="349" customFormat="1" ht="20.100000000000001" customHeight="1">
      <c r="D170" s="348"/>
      <c r="F170" s="348"/>
      <c r="G170" s="348"/>
      <c r="H170" s="348"/>
      <c r="Q170" s="348"/>
    </row>
    <row r="171" spans="4:17" s="349" customFormat="1" ht="20.100000000000001" customHeight="1">
      <c r="D171" s="348"/>
      <c r="F171" s="348"/>
      <c r="G171" s="348"/>
      <c r="H171" s="348"/>
      <c r="Q171" s="348"/>
    </row>
    <row r="172" spans="4:17" s="349" customFormat="1" ht="20.100000000000001" customHeight="1">
      <c r="D172" s="348"/>
      <c r="F172" s="348"/>
      <c r="G172" s="348"/>
      <c r="H172" s="348"/>
      <c r="Q172" s="348"/>
    </row>
    <row r="173" spans="4:17" s="349" customFormat="1" ht="20.100000000000001" customHeight="1">
      <c r="D173" s="348"/>
      <c r="F173" s="348"/>
      <c r="G173" s="348"/>
      <c r="H173" s="348"/>
      <c r="Q173" s="348"/>
    </row>
    <row r="174" spans="4:17" s="349" customFormat="1" ht="20.100000000000001" customHeight="1">
      <c r="D174" s="348"/>
      <c r="F174" s="348"/>
      <c r="G174" s="348"/>
      <c r="H174" s="348"/>
      <c r="Q174" s="348"/>
    </row>
    <row r="175" spans="4:17" s="349" customFormat="1" ht="20.100000000000001" customHeight="1">
      <c r="D175" s="348"/>
      <c r="F175" s="348"/>
      <c r="G175" s="348"/>
      <c r="H175" s="348"/>
      <c r="Q175" s="348"/>
    </row>
    <row r="176" spans="4:17" s="349" customFormat="1" ht="20.100000000000001" customHeight="1">
      <c r="D176" s="348"/>
      <c r="F176" s="348"/>
      <c r="G176" s="348"/>
      <c r="H176" s="348"/>
      <c r="Q176" s="348"/>
    </row>
    <row r="177" spans="4:17" s="349" customFormat="1" ht="20.100000000000001" customHeight="1">
      <c r="D177" s="348"/>
      <c r="F177" s="348"/>
      <c r="G177" s="348"/>
      <c r="H177" s="348"/>
      <c r="Q177" s="348"/>
    </row>
    <row r="178" spans="4:17" s="349" customFormat="1" ht="20.100000000000001" customHeight="1">
      <c r="D178" s="348"/>
      <c r="F178" s="348"/>
      <c r="G178" s="348"/>
      <c r="H178" s="348"/>
      <c r="Q178" s="348"/>
    </row>
    <row r="179" spans="4:17" s="349" customFormat="1" ht="20.100000000000001" customHeight="1">
      <c r="D179" s="348"/>
      <c r="F179" s="348"/>
      <c r="G179" s="348"/>
      <c r="H179" s="348"/>
      <c r="Q179" s="348"/>
    </row>
    <row r="180" spans="4:17" s="349" customFormat="1" ht="20.100000000000001" customHeight="1">
      <c r="D180" s="348"/>
      <c r="F180" s="348"/>
      <c r="G180" s="348"/>
      <c r="H180" s="348"/>
      <c r="Q180" s="348"/>
    </row>
    <row r="181" spans="4:17" s="349" customFormat="1" ht="20.100000000000001" customHeight="1">
      <c r="D181" s="348"/>
      <c r="F181" s="348"/>
      <c r="G181" s="348"/>
      <c r="H181" s="348"/>
      <c r="Q181" s="348"/>
    </row>
    <row r="182" spans="4:17" s="349" customFormat="1" ht="20.100000000000001" customHeight="1">
      <c r="D182" s="348"/>
      <c r="F182" s="348"/>
      <c r="G182" s="348"/>
      <c r="H182" s="348"/>
      <c r="Q182" s="348"/>
    </row>
    <row r="183" spans="4:17" s="349" customFormat="1" ht="20.100000000000001" customHeight="1">
      <c r="D183" s="348"/>
      <c r="F183" s="348"/>
      <c r="G183" s="348"/>
      <c r="H183" s="348"/>
      <c r="Q183" s="348"/>
    </row>
    <row r="184" spans="4:17" s="349" customFormat="1" ht="20.100000000000001" customHeight="1">
      <c r="D184" s="348"/>
      <c r="F184" s="348"/>
      <c r="G184" s="348"/>
      <c r="H184" s="348"/>
      <c r="Q184" s="348"/>
    </row>
    <row r="185" spans="4:17" s="349" customFormat="1" ht="20.100000000000001" customHeight="1">
      <c r="D185" s="348"/>
      <c r="F185" s="348"/>
      <c r="G185" s="348"/>
      <c r="H185" s="348"/>
      <c r="Q185" s="348"/>
    </row>
    <row r="186" spans="4:17" s="349" customFormat="1" ht="20.100000000000001" customHeight="1">
      <c r="D186" s="348"/>
      <c r="F186" s="348"/>
      <c r="G186" s="348"/>
      <c r="H186" s="348"/>
      <c r="Q186" s="348"/>
    </row>
    <row r="187" spans="4:17" s="349" customFormat="1" ht="20.100000000000001" customHeight="1">
      <c r="D187" s="348"/>
      <c r="F187" s="348"/>
      <c r="G187" s="348"/>
      <c r="H187" s="348"/>
      <c r="Q187" s="348"/>
    </row>
    <row r="188" spans="4:17" s="349" customFormat="1" ht="20.100000000000001" customHeight="1">
      <c r="D188" s="348"/>
      <c r="F188" s="348"/>
      <c r="G188" s="348"/>
      <c r="H188" s="348"/>
      <c r="Q188" s="348"/>
    </row>
    <row r="189" spans="4:17" s="349" customFormat="1" ht="20.100000000000001" customHeight="1">
      <c r="D189" s="348"/>
      <c r="F189" s="348"/>
      <c r="G189" s="348"/>
      <c r="H189" s="348"/>
      <c r="Q189" s="348"/>
    </row>
    <row r="190" spans="4:17" s="349" customFormat="1" ht="20.100000000000001" customHeight="1">
      <c r="D190" s="348"/>
      <c r="F190" s="348"/>
      <c r="G190" s="348"/>
      <c r="H190" s="348"/>
      <c r="Q190" s="348"/>
    </row>
    <row r="191" spans="4:17" s="349" customFormat="1" ht="20.100000000000001" customHeight="1">
      <c r="D191" s="348"/>
      <c r="F191" s="348"/>
      <c r="G191" s="348"/>
      <c r="H191" s="348"/>
      <c r="Q191" s="348"/>
    </row>
    <row r="192" spans="4:17" s="349" customFormat="1" ht="20.100000000000001" customHeight="1">
      <c r="D192" s="348"/>
      <c r="F192" s="348"/>
      <c r="G192" s="348"/>
      <c r="H192" s="348"/>
      <c r="Q192" s="348"/>
    </row>
    <row r="193" spans="4:17" s="349" customFormat="1" ht="20.100000000000001" customHeight="1">
      <c r="D193" s="348"/>
      <c r="F193" s="348"/>
      <c r="G193" s="348"/>
      <c r="H193" s="348"/>
      <c r="Q193" s="348"/>
    </row>
    <row r="194" spans="4:17" s="349" customFormat="1" ht="20.100000000000001" customHeight="1">
      <c r="D194" s="348"/>
      <c r="F194" s="348"/>
      <c r="G194" s="348"/>
      <c r="H194" s="348"/>
      <c r="Q194" s="348"/>
    </row>
    <row r="195" spans="4:17" s="349" customFormat="1" ht="20.100000000000001" customHeight="1">
      <c r="D195" s="348"/>
      <c r="F195" s="348"/>
      <c r="G195" s="348"/>
      <c r="H195" s="348"/>
      <c r="Q195" s="348"/>
    </row>
    <row r="196" spans="4:17" s="349" customFormat="1" ht="20.100000000000001" customHeight="1">
      <c r="D196" s="348"/>
      <c r="F196" s="348"/>
      <c r="G196" s="348"/>
      <c r="H196" s="348"/>
      <c r="Q196" s="348"/>
    </row>
    <row r="197" spans="4:17" s="349" customFormat="1" ht="20.100000000000001" customHeight="1">
      <c r="D197" s="348"/>
      <c r="F197" s="348"/>
      <c r="G197" s="348"/>
      <c r="H197" s="348"/>
      <c r="Q197" s="348"/>
    </row>
    <row r="198" spans="4:17" s="349" customFormat="1" ht="20.100000000000001" customHeight="1">
      <c r="D198" s="348"/>
      <c r="F198" s="348"/>
      <c r="G198" s="348"/>
      <c r="H198" s="348"/>
      <c r="Q198" s="348"/>
    </row>
    <row r="199" spans="4:17" s="349" customFormat="1" ht="20.100000000000001" customHeight="1">
      <c r="D199" s="348"/>
      <c r="F199" s="348"/>
      <c r="G199" s="348"/>
      <c r="H199" s="348"/>
      <c r="Q199" s="348"/>
    </row>
    <row r="200" spans="4:17" s="349" customFormat="1" ht="20.100000000000001" customHeight="1">
      <c r="D200" s="348"/>
      <c r="F200" s="348"/>
      <c r="G200" s="348"/>
      <c r="H200" s="348"/>
      <c r="Q200" s="348"/>
    </row>
    <row r="201" spans="4:17" s="349" customFormat="1" ht="20.100000000000001" customHeight="1">
      <c r="D201" s="348"/>
      <c r="F201" s="348"/>
      <c r="G201" s="348"/>
      <c r="H201" s="348"/>
      <c r="Q201" s="348"/>
    </row>
    <row r="202" spans="4:17" s="349" customFormat="1" ht="20.100000000000001" customHeight="1">
      <c r="D202" s="348"/>
      <c r="F202" s="348"/>
      <c r="G202" s="348"/>
      <c r="H202" s="348"/>
      <c r="Q202" s="348"/>
    </row>
    <row r="203" spans="4:17" s="349" customFormat="1" ht="20.100000000000001" customHeight="1">
      <c r="D203" s="348"/>
      <c r="F203" s="348"/>
      <c r="G203" s="348"/>
      <c r="H203" s="348"/>
      <c r="Q203" s="348"/>
    </row>
    <row r="204" spans="4:17" s="349" customFormat="1" ht="20.100000000000001" customHeight="1">
      <c r="D204" s="348"/>
      <c r="F204" s="348"/>
      <c r="G204" s="348"/>
      <c r="H204" s="348"/>
      <c r="Q204" s="348"/>
    </row>
    <row r="205" spans="4:17" s="349" customFormat="1" ht="20.100000000000001" customHeight="1">
      <c r="D205" s="348"/>
      <c r="F205" s="348"/>
      <c r="G205" s="348"/>
      <c r="H205" s="348"/>
      <c r="Q205" s="348"/>
    </row>
    <row r="206" spans="4:17" s="349" customFormat="1" ht="20.100000000000001" customHeight="1">
      <c r="D206" s="348"/>
      <c r="F206" s="348"/>
      <c r="G206" s="348"/>
      <c r="H206" s="348"/>
      <c r="Q206" s="348"/>
    </row>
    <row r="207" spans="4:17" s="349" customFormat="1" ht="20.100000000000001" customHeight="1">
      <c r="D207" s="348"/>
      <c r="F207" s="348"/>
      <c r="G207" s="348"/>
      <c r="H207" s="348"/>
      <c r="Q207" s="348"/>
    </row>
    <row r="208" spans="4:17" s="349" customFormat="1" ht="20.100000000000001" customHeight="1">
      <c r="D208" s="348"/>
      <c r="F208" s="348"/>
      <c r="G208" s="348"/>
      <c r="H208" s="348"/>
      <c r="Q208" s="348"/>
    </row>
    <row r="209" spans="4:17" s="349" customFormat="1" ht="20.100000000000001" customHeight="1">
      <c r="D209" s="348"/>
      <c r="F209" s="348"/>
      <c r="G209" s="348"/>
      <c r="H209" s="348"/>
      <c r="Q209" s="348"/>
    </row>
    <row r="210" spans="4:17" s="349" customFormat="1" ht="20.100000000000001" customHeight="1">
      <c r="D210" s="348"/>
      <c r="F210" s="348"/>
      <c r="G210" s="348"/>
      <c r="H210" s="348"/>
      <c r="Q210" s="348"/>
    </row>
    <row r="211" spans="4:17" s="349" customFormat="1" ht="20.100000000000001" customHeight="1">
      <c r="D211" s="348"/>
      <c r="F211" s="348"/>
      <c r="G211" s="348"/>
      <c r="H211" s="348"/>
      <c r="Q211" s="348"/>
    </row>
    <row r="212" spans="4:17" s="349" customFormat="1" ht="20.100000000000001" customHeight="1">
      <c r="D212" s="348"/>
      <c r="F212" s="348"/>
      <c r="G212" s="348"/>
      <c r="H212" s="348"/>
      <c r="Q212" s="348"/>
    </row>
    <row r="213" spans="4:17" s="349" customFormat="1" ht="20.100000000000001" customHeight="1">
      <c r="D213" s="348"/>
      <c r="F213" s="348"/>
      <c r="G213" s="348"/>
      <c r="H213" s="348"/>
      <c r="Q213" s="348"/>
    </row>
    <row r="214" spans="4:17" s="349" customFormat="1" ht="20.100000000000001" customHeight="1">
      <c r="D214" s="348"/>
      <c r="F214" s="348"/>
      <c r="G214" s="348"/>
      <c r="H214" s="348"/>
      <c r="Q214" s="348"/>
    </row>
    <row r="215" spans="4:17" s="349" customFormat="1" ht="20.100000000000001" customHeight="1">
      <c r="D215" s="348"/>
      <c r="F215" s="348"/>
      <c r="G215" s="348"/>
      <c r="H215" s="348"/>
      <c r="Q215" s="348"/>
    </row>
    <row r="216" spans="4:17" s="349" customFormat="1" ht="20.100000000000001" customHeight="1">
      <c r="D216" s="348"/>
      <c r="F216" s="348"/>
      <c r="G216" s="348"/>
      <c r="H216" s="348"/>
      <c r="Q216" s="348"/>
    </row>
    <row r="217" spans="4:17" s="349" customFormat="1" ht="20.100000000000001" customHeight="1">
      <c r="D217" s="348"/>
      <c r="F217" s="348"/>
      <c r="G217" s="348"/>
      <c r="H217" s="348"/>
      <c r="Q217" s="348"/>
    </row>
    <row r="218" spans="4:17" s="349" customFormat="1" ht="20.100000000000001" customHeight="1">
      <c r="D218" s="348"/>
      <c r="F218" s="348"/>
      <c r="G218" s="348"/>
      <c r="H218" s="348"/>
      <c r="Q218" s="348"/>
    </row>
    <row r="219" spans="4:17" s="349" customFormat="1" ht="20.100000000000001" customHeight="1">
      <c r="D219" s="348"/>
      <c r="F219" s="348"/>
      <c r="G219" s="348"/>
      <c r="H219" s="348"/>
      <c r="Q219" s="348"/>
    </row>
    <row r="220" spans="4:17" s="349" customFormat="1" ht="20.100000000000001" customHeight="1">
      <c r="D220" s="348"/>
      <c r="F220" s="348"/>
      <c r="G220" s="348"/>
      <c r="H220" s="348"/>
      <c r="Q220" s="348"/>
    </row>
    <row r="221" spans="4:17" s="349" customFormat="1" ht="20.100000000000001" customHeight="1">
      <c r="D221" s="348"/>
      <c r="F221" s="348"/>
      <c r="G221" s="348"/>
      <c r="H221" s="348"/>
      <c r="Q221" s="348"/>
    </row>
    <row r="222" spans="4:17" s="349" customFormat="1" ht="20.100000000000001" customHeight="1">
      <c r="D222" s="348"/>
      <c r="F222" s="348"/>
      <c r="G222" s="348"/>
      <c r="H222" s="348"/>
      <c r="Q222" s="348"/>
    </row>
    <row r="223" spans="4:17" s="349" customFormat="1" ht="20.100000000000001" customHeight="1">
      <c r="D223" s="348"/>
      <c r="F223" s="348"/>
      <c r="G223" s="348"/>
      <c r="H223" s="348"/>
      <c r="Q223" s="348"/>
    </row>
    <row r="224" spans="4:17" s="349" customFormat="1" ht="20.100000000000001" customHeight="1">
      <c r="D224" s="348"/>
      <c r="F224" s="348"/>
      <c r="G224" s="348"/>
      <c r="H224" s="348"/>
      <c r="Q224" s="348"/>
    </row>
    <row r="225" spans="4:17" s="349" customFormat="1" ht="20.100000000000001" customHeight="1">
      <c r="D225" s="348"/>
      <c r="F225" s="348"/>
      <c r="G225" s="348"/>
      <c r="H225" s="348"/>
      <c r="Q225" s="348"/>
    </row>
    <row r="226" spans="4:17" s="349" customFormat="1" ht="20.100000000000001" customHeight="1">
      <c r="D226" s="348"/>
      <c r="F226" s="348"/>
      <c r="G226" s="348"/>
      <c r="H226" s="348"/>
      <c r="Q226" s="348"/>
    </row>
    <row r="227" spans="4:17" s="349" customFormat="1" ht="20.100000000000001" customHeight="1">
      <c r="D227" s="348"/>
      <c r="F227" s="348"/>
      <c r="G227" s="348"/>
      <c r="H227" s="348"/>
      <c r="Q227" s="348"/>
    </row>
    <row r="228" spans="4:17" s="349" customFormat="1" ht="20.100000000000001" customHeight="1">
      <c r="D228" s="348"/>
      <c r="F228" s="348"/>
      <c r="G228" s="348"/>
      <c r="H228" s="348"/>
      <c r="Q228" s="348"/>
    </row>
    <row r="229" spans="4:17" s="349" customFormat="1" ht="20.100000000000001" customHeight="1">
      <c r="D229" s="348"/>
      <c r="F229" s="348"/>
      <c r="G229" s="348"/>
      <c r="H229" s="348"/>
      <c r="Q229" s="348"/>
    </row>
    <row r="230" spans="4:17" s="349" customFormat="1" ht="20.100000000000001" customHeight="1">
      <c r="D230" s="348"/>
      <c r="F230" s="348"/>
      <c r="G230" s="348"/>
      <c r="H230" s="348"/>
      <c r="Q230" s="348"/>
    </row>
    <row r="231" spans="4:17" s="349" customFormat="1" ht="20.100000000000001" customHeight="1">
      <c r="D231" s="348"/>
      <c r="F231" s="348"/>
      <c r="G231" s="348"/>
      <c r="H231" s="348"/>
      <c r="Q231" s="348"/>
    </row>
    <row r="232" spans="4:17" s="349" customFormat="1" ht="20.100000000000001" customHeight="1">
      <c r="D232" s="348"/>
      <c r="F232" s="348"/>
      <c r="G232" s="348"/>
      <c r="H232" s="348"/>
      <c r="Q232" s="348"/>
    </row>
    <row r="233" spans="4:17" s="349" customFormat="1" ht="20.100000000000001" customHeight="1">
      <c r="D233" s="348"/>
      <c r="F233" s="348"/>
      <c r="G233" s="348"/>
      <c r="H233" s="348"/>
      <c r="Q233" s="348"/>
    </row>
    <row r="234" spans="4:17" s="349" customFormat="1" ht="20.100000000000001" customHeight="1">
      <c r="D234" s="348"/>
      <c r="F234" s="348"/>
      <c r="G234" s="348"/>
      <c r="H234" s="348"/>
      <c r="Q234" s="348"/>
    </row>
    <row r="235" spans="4:17" s="349" customFormat="1" ht="20.100000000000001" customHeight="1">
      <c r="D235" s="348"/>
      <c r="F235" s="348"/>
      <c r="G235" s="348"/>
      <c r="H235" s="348"/>
      <c r="Q235" s="348"/>
    </row>
    <row r="236" spans="4:17" s="349" customFormat="1" ht="20.100000000000001" customHeight="1">
      <c r="D236" s="348"/>
      <c r="F236" s="348"/>
      <c r="G236" s="348"/>
      <c r="H236" s="348"/>
      <c r="Q236" s="348"/>
    </row>
    <row r="237" spans="4:17" s="349" customFormat="1" ht="20.100000000000001" customHeight="1">
      <c r="D237" s="348"/>
      <c r="F237" s="348"/>
      <c r="G237" s="348"/>
      <c r="H237" s="348"/>
      <c r="Q237" s="348"/>
    </row>
    <row r="238" spans="4:17" s="349" customFormat="1" ht="20.100000000000001" customHeight="1">
      <c r="D238" s="348"/>
      <c r="F238" s="348"/>
      <c r="G238" s="348"/>
      <c r="H238" s="348"/>
      <c r="Q238" s="348"/>
    </row>
    <row r="239" spans="4:17" s="349" customFormat="1" ht="20.100000000000001" customHeight="1">
      <c r="D239" s="348"/>
      <c r="F239" s="348"/>
      <c r="G239" s="348"/>
      <c r="H239" s="348"/>
      <c r="Q239" s="348"/>
    </row>
    <row r="240" spans="4:17" s="349" customFormat="1" ht="20.100000000000001" customHeight="1">
      <c r="D240" s="348"/>
      <c r="F240" s="348"/>
      <c r="G240" s="348"/>
      <c r="H240" s="348"/>
      <c r="Q240" s="348"/>
    </row>
    <row r="241" spans="4:17" s="349" customFormat="1" ht="20.100000000000001" customHeight="1">
      <c r="D241" s="348"/>
      <c r="F241" s="348"/>
      <c r="G241" s="348"/>
      <c r="H241" s="348"/>
      <c r="Q241" s="348"/>
    </row>
    <row r="242" spans="4:17" s="349" customFormat="1" ht="20.100000000000001" customHeight="1">
      <c r="D242" s="348"/>
      <c r="F242" s="348"/>
      <c r="G242" s="348"/>
      <c r="H242" s="348"/>
      <c r="Q242" s="348"/>
    </row>
    <row r="243" spans="4:17" s="349" customFormat="1" ht="20.100000000000001" customHeight="1">
      <c r="D243" s="348"/>
      <c r="F243" s="348"/>
      <c r="G243" s="348"/>
      <c r="H243" s="348"/>
      <c r="Q243" s="348"/>
    </row>
    <row r="244" spans="4:17" s="349" customFormat="1" ht="20.100000000000001" customHeight="1">
      <c r="D244" s="348"/>
      <c r="F244" s="348"/>
      <c r="G244" s="348"/>
      <c r="H244" s="348"/>
      <c r="Q244" s="348"/>
    </row>
    <row r="245" spans="4:17" s="349" customFormat="1" ht="20.100000000000001" customHeight="1">
      <c r="D245" s="348"/>
      <c r="F245" s="348"/>
      <c r="G245" s="348"/>
      <c r="H245" s="348"/>
      <c r="Q245" s="348"/>
    </row>
    <row r="246" spans="4:17" s="349" customFormat="1" ht="20.100000000000001" customHeight="1">
      <c r="D246" s="348"/>
      <c r="F246" s="348"/>
      <c r="G246" s="348"/>
      <c r="H246" s="348"/>
      <c r="Q246" s="348"/>
    </row>
    <row r="247" spans="4:17" s="349" customFormat="1" ht="20.100000000000001" customHeight="1">
      <c r="D247" s="348"/>
      <c r="F247" s="348"/>
      <c r="G247" s="348"/>
      <c r="H247" s="348"/>
      <c r="Q247" s="348"/>
    </row>
    <row r="248" spans="4:17" s="349" customFormat="1" ht="20.100000000000001" customHeight="1">
      <c r="D248" s="348"/>
      <c r="F248" s="348"/>
      <c r="G248" s="348"/>
      <c r="H248" s="348"/>
      <c r="Q248" s="348"/>
    </row>
    <row r="249" spans="4:17" s="349" customFormat="1" ht="20.100000000000001" customHeight="1">
      <c r="D249" s="348"/>
      <c r="F249" s="348"/>
      <c r="G249" s="348"/>
      <c r="H249" s="348"/>
      <c r="Q249" s="348"/>
    </row>
    <row r="250" spans="4:17" s="349" customFormat="1" ht="20.100000000000001" customHeight="1">
      <c r="D250" s="348"/>
      <c r="F250" s="348"/>
      <c r="G250" s="348"/>
      <c r="H250" s="348"/>
      <c r="Q250" s="348"/>
    </row>
    <row r="251" spans="4:17" s="349" customFormat="1" ht="20.100000000000001" customHeight="1">
      <c r="D251" s="348"/>
      <c r="F251" s="348"/>
      <c r="G251" s="348"/>
      <c r="H251" s="348"/>
      <c r="Q251" s="348"/>
    </row>
    <row r="252" spans="4:17" s="349" customFormat="1" ht="20.100000000000001" customHeight="1">
      <c r="D252" s="348"/>
      <c r="F252" s="348"/>
      <c r="G252" s="348"/>
      <c r="H252" s="348"/>
      <c r="Q252" s="348"/>
    </row>
    <row r="253" spans="4:17" s="349" customFormat="1" ht="20.100000000000001" customHeight="1">
      <c r="D253" s="348"/>
      <c r="F253" s="348"/>
      <c r="G253" s="348"/>
      <c r="H253" s="348"/>
      <c r="Q253" s="348"/>
    </row>
    <row r="254" spans="4:17" s="349" customFormat="1" ht="20.100000000000001" customHeight="1">
      <c r="D254" s="348"/>
      <c r="F254" s="348"/>
      <c r="G254" s="348"/>
      <c r="H254" s="348"/>
      <c r="Q254" s="348"/>
    </row>
    <row r="255" spans="4:17" s="349" customFormat="1" ht="20.100000000000001" customHeight="1">
      <c r="D255" s="348"/>
      <c r="F255" s="348"/>
      <c r="G255" s="348"/>
      <c r="H255" s="348"/>
      <c r="Q255" s="348"/>
    </row>
    <row r="256" spans="4:17" s="349" customFormat="1" ht="20.100000000000001" customHeight="1">
      <c r="D256" s="348"/>
      <c r="F256" s="348"/>
      <c r="G256" s="348"/>
      <c r="H256" s="348"/>
      <c r="Q256" s="348"/>
    </row>
    <row r="257" spans="4:17" s="349" customFormat="1" ht="20.100000000000001" customHeight="1">
      <c r="D257" s="348"/>
      <c r="F257" s="348"/>
      <c r="G257" s="348"/>
      <c r="H257" s="348"/>
      <c r="Q257" s="348"/>
    </row>
    <row r="258" spans="4:17" s="349" customFormat="1" ht="20.100000000000001" customHeight="1">
      <c r="D258" s="348"/>
      <c r="F258" s="348"/>
      <c r="G258" s="348"/>
      <c r="H258" s="348"/>
      <c r="Q258" s="348"/>
    </row>
    <row r="259" spans="4:17" s="349" customFormat="1" ht="20.100000000000001" customHeight="1">
      <c r="D259" s="348"/>
      <c r="F259" s="348"/>
      <c r="G259" s="348"/>
      <c r="H259" s="348"/>
      <c r="Q259" s="348"/>
    </row>
    <row r="260" spans="4:17" s="349" customFormat="1" ht="20.100000000000001" customHeight="1">
      <c r="D260" s="348"/>
      <c r="F260" s="348"/>
      <c r="G260" s="348"/>
      <c r="H260" s="348"/>
      <c r="Q260" s="348"/>
    </row>
    <row r="261" spans="4:17" s="349" customFormat="1" ht="20.100000000000001" customHeight="1">
      <c r="D261" s="348"/>
      <c r="F261" s="348"/>
      <c r="G261" s="348"/>
      <c r="H261" s="348"/>
      <c r="Q261" s="348"/>
    </row>
    <row r="262" spans="4:17" s="349" customFormat="1" ht="20.100000000000001" customHeight="1">
      <c r="D262" s="348"/>
      <c r="F262" s="348"/>
      <c r="G262" s="348"/>
      <c r="H262" s="348"/>
      <c r="Q262" s="348"/>
    </row>
    <row r="263" spans="4:17" s="349" customFormat="1" ht="20.100000000000001" customHeight="1">
      <c r="D263" s="348"/>
      <c r="F263" s="348"/>
      <c r="G263" s="348"/>
      <c r="H263" s="348"/>
      <c r="Q263" s="348"/>
    </row>
    <row r="264" spans="4:17" s="349" customFormat="1" ht="20.100000000000001" customHeight="1">
      <c r="D264" s="348"/>
      <c r="F264" s="348"/>
      <c r="G264" s="348"/>
      <c r="H264" s="348"/>
      <c r="Q264" s="348"/>
    </row>
    <row r="265" spans="4:17" s="349" customFormat="1" ht="20.100000000000001" customHeight="1">
      <c r="D265" s="348"/>
      <c r="F265" s="348"/>
      <c r="G265" s="348"/>
      <c r="H265" s="348"/>
      <c r="Q265" s="348"/>
    </row>
    <row r="266" spans="4:17" s="349" customFormat="1" ht="20.100000000000001" customHeight="1">
      <c r="D266" s="348"/>
      <c r="F266" s="348"/>
      <c r="G266" s="348"/>
      <c r="H266" s="348"/>
      <c r="Q266" s="348"/>
    </row>
    <row r="267" spans="4:17" s="349" customFormat="1" ht="20.100000000000001" customHeight="1">
      <c r="D267" s="348"/>
      <c r="F267" s="348"/>
      <c r="G267" s="348"/>
      <c r="H267" s="348"/>
      <c r="Q267" s="348"/>
    </row>
    <row r="268" spans="4:17" s="349" customFormat="1" ht="20.100000000000001" customHeight="1">
      <c r="D268" s="348"/>
      <c r="F268" s="348"/>
      <c r="G268" s="348"/>
      <c r="H268" s="348"/>
      <c r="Q268" s="348"/>
    </row>
    <row r="269" spans="4:17" s="349" customFormat="1" ht="20.100000000000001" customHeight="1">
      <c r="D269" s="348"/>
      <c r="F269" s="348"/>
      <c r="G269" s="348"/>
      <c r="H269" s="348"/>
      <c r="Q269" s="348"/>
    </row>
    <row r="270" spans="4:17" s="349" customFormat="1" ht="20.100000000000001" customHeight="1">
      <c r="D270" s="348"/>
      <c r="F270" s="348"/>
      <c r="G270" s="348"/>
      <c r="H270" s="348"/>
      <c r="Q270" s="348"/>
    </row>
    <row r="271" spans="4:17" s="349" customFormat="1" ht="20.100000000000001" customHeight="1">
      <c r="D271" s="348"/>
      <c r="F271" s="348"/>
      <c r="G271" s="348"/>
      <c r="H271" s="348"/>
      <c r="Q271" s="348"/>
    </row>
    <row r="272" spans="4:17" s="349" customFormat="1" ht="20.100000000000001" customHeight="1">
      <c r="D272" s="348"/>
      <c r="F272" s="348"/>
      <c r="G272" s="348"/>
      <c r="H272" s="348"/>
      <c r="Q272" s="348"/>
    </row>
    <row r="273" spans="4:17" s="349" customFormat="1" ht="20.100000000000001" customHeight="1">
      <c r="D273" s="348"/>
      <c r="F273" s="348"/>
      <c r="G273" s="348"/>
      <c r="H273" s="348"/>
      <c r="Q273" s="348"/>
    </row>
    <row r="274" spans="4:17" s="349" customFormat="1" ht="20.100000000000001" customHeight="1">
      <c r="D274" s="348"/>
      <c r="F274" s="348"/>
      <c r="G274" s="348"/>
      <c r="H274" s="348"/>
      <c r="Q274" s="348"/>
    </row>
    <row r="275" spans="4:17" s="349" customFormat="1" ht="20.100000000000001" customHeight="1">
      <c r="D275" s="348"/>
      <c r="F275" s="348"/>
      <c r="G275" s="348"/>
      <c r="H275" s="348"/>
      <c r="Q275" s="348"/>
    </row>
    <row r="276" spans="4:17" s="349" customFormat="1" ht="20.100000000000001" customHeight="1">
      <c r="D276" s="348"/>
      <c r="F276" s="348"/>
      <c r="G276" s="348"/>
      <c r="H276" s="348"/>
      <c r="Q276" s="348"/>
    </row>
    <row r="277" spans="4:17" s="349" customFormat="1" ht="20.100000000000001" customHeight="1">
      <c r="D277" s="348"/>
      <c r="F277" s="348"/>
      <c r="G277" s="348"/>
      <c r="H277" s="348"/>
      <c r="Q277" s="348"/>
    </row>
    <row r="278" spans="4:17" s="349" customFormat="1" ht="20.100000000000001" customHeight="1">
      <c r="D278" s="348"/>
      <c r="F278" s="348"/>
      <c r="G278" s="348"/>
      <c r="H278" s="348"/>
      <c r="Q278" s="348"/>
    </row>
    <row r="279" spans="4:17" s="349" customFormat="1" ht="20.100000000000001" customHeight="1">
      <c r="D279" s="348"/>
      <c r="F279" s="348"/>
      <c r="G279" s="348"/>
      <c r="H279" s="348"/>
      <c r="Q279" s="348"/>
    </row>
    <row r="280" spans="4:17" s="349" customFormat="1" ht="20.100000000000001" customHeight="1">
      <c r="D280" s="348"/>
      <c r="F280" s="348"/>
      <c r="G280" s="348"/>
      <c r="H280" s="348"/>
      <c r="Q280" s="348"/>
    </row>
    <row r="281" spans="4:17" s="349" customFormat="1" ht="20.100000000000001" customHeight="1">
      <c r="D281" s="348"/>
      <c r="F281" s="348"/>
      <c r="G281" s="348"/>
      <c r="H281" s="348"/>
      <c r="Q281" s="348"/>
    </row>
    <row r="282" spans="4:17" s="349" customFormat="1" ht="20.100000000000001" customHeight="1">
      <c r="D282" s="348"/>
      <c r="F282" s="348"/>
      <c r="G282" s="348"/>
      <c r="H282" s="348"/>
      <c r="Q282" s="348"/>
    </row>
    <row r="283" spans="4:17" s="349" customFormat="1" ht="20.100000000000001" customHeight="1">
      <c r="D283" s="348"/>
      <c r="F283" s="348"/>
      <c r="G283" s="348"/>
      <c r="H283" s="348"/>
      <c r="Q283" s="348"/>
    </row>
    <row r="284" spans="4:17" s="349" customFormat="1" ht="20.100000000000001" customHeight="1">
      <c r="D284" s="348"/>
      <c r="F284" s="348"/>
      <c r="G284" s="348"/>
      <c r="H284" s="348"/>
      <c r="Q284" s="348"/>
    </row>
    <row r="285" spans="4:17" s="349" customFormat="1" ht="20.100000000000001" customHeight="1">
      <c r="D285" s="348"/>
      <c r="F285" s="348"/>
      <c r="G285" s="348"/>
      <c r="H285" s="348"/>
      <c r="Q285" s="348"/>
    </row>
    <row r="286" spans="4:17" s="349" customFormat="1" ht="20.100000000000001" customHeight="1">
      <c r="D286" s="348"/>
      <c r="F286" s="348"/>
      <c r="G286" s="348"/>
      <c r="H286" s="348"/>
      <c r="Q286" s="348"/>
    </row>
    <row r="287" spans="4:17" s="349" customFormat="1" ht="20.100000000000001" customHeight="1">
      <c r="D287" s="348"/>
      <c r="F287" s="348"/>
      <c r="G287" s="348"/>
      <c r="H287" s="348"/>
      <c r="Q287" s="348"/>
    </row>
  </sheetData>
  <autoFilter ref="A1:P64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</autoFilter>
  <mergeCells count="3">
    <mergeCell ref="A1:P1"/>
    <mergeCell ref="G2:K2"/>
    <mergeCell ref="L2:P2"/>
  </mergeCells>
  <phoneticPr fontId="3" type="noConversion"/>
  <conditionalFormatting sqref="E4:E64">
    <cfRule type="cellIs" dxfId="1" priority="2" operator="equal">
      <formula>"사립"</formula>
    </cfRule>
  </conditionalFormatting>
  <conditionalFormatting sqref="F41:F52">
    <cfRule type="cellIs" dxfId="0" priority="1" operator="greaterThan">
      <formula>249</formula>
    </cfRule>
  </conditionalFormatting>
  <pageMargins left="0.31496062992125984" right="0.31496062992125984" top="0.52" bottom="0.54" header="0.31496062992125984" footer="0.31496062992125984"/>
  <pageSetup paperSize="9" scale="6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이름이 지정된 범위</vt:lpstr>
      </vt:variant>
      <vt:variant>
        <vt:i4>5</vt:i4>
      </vt:variant>
    </vt:vector>
  </HeadingPairs>
  <TitlesOfParts>
    <vt:vector size="12" baseType="lpstr">
      <vt:lpstr>주간영업보고</vt:lpstr>
      <vt:lpstr>보고서_중점사항</vt:lpstr>
      <vt:lpstr>업무보고서 </vt:lpstr>
      <vt:lpstr>영업목표 일괄표</vt:lpstr>
      <vt:lpstr>종합(서울)</vt:lpstr>
      <vt:lpstr>종합(경기)</vt:lpstr>
      <vt:lpstr>김용경_미선정 현황 추가정리 보고용</vt:lpstr>
      <vt:lpstr>보고서_중점사항!Print_Area</vt:lpstr>
      <vt:lpstr>'업무보고서 '!Print_Area</vt:lpstr>
      <vt:lpstr>'영업목표 일괄표'!Print_Area</vt:lpstr>
      <vt:lpstr>'종합(서울)'!Print_Area</vt:lpstr>
      <vt:lpstr>주간영업보고!Print_Area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 JOONHO</dc:creator>
  <cp:lastModifiedBy>PC</cp:lastModifiedBy>
  <cp:lastPrinted>2025-06-27T01:53:08Z</cp:lastPrinted>
  <dcterms:created xsi:type="dcterms:W3CDTF">2020-11-01T05:53:27Z</dcterms:created>
  <dcterms:modified xsi:type="dcterms:W3CDTF">2025-06-27T01:57:23Z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b587559e-a04d-46ee-bbd3-2be808a5b8d7</vt:lpwstr>
  </property>
</Properties>
</file>